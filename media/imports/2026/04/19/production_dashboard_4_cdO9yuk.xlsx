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 Production Matrix" sheetId="1" r:id="rId4"/>
    <sheet state="visible" name="Analysis Dashboard" sheetId="2" r:id="rId5"/>
    <sheet state="visible" name="Ledger Report" sheetId="3" r:id="rId6"/>
    <sheet state="visible" name="Pivot Table 4" sheetId="4" r:id="rId7"/>
  </sheets>
  <definedNames>
    <definedName hidden="1" localSheetId="0" name="_xlnm._FilterDatabase">'Daily Production Matrix'!$A$1:$R$87</definedName>
    <definedName hidden="1" localSheetId="1" name="_xlnm._FilterDatabase">'Analysis Dashboard'!$A$1:$C$15</definedName>
    <definedName hidden="1" localSheetId="2" name="_xlnm._FilterDatabase">'Ledger Report'!$A$1:$G$475</definedName>
    <definedName hidden="1" localSheetId="3" name="_xlnm._FilterDatabase">'Pivot Table 4'!$A$1:$C$21</definedName>
  </definedNames>
  <calcPr/>
  <pivotCaches>
    <pivotCache cacheId="0" r:id="rId8"/>
    <pivotCache cacheId="1" r:id="rId9"/>
  </pivotCaches>
  <extLst>
    <ext uri="GoogleSheetsCustomDataVersion2">
      <go:sheetsCustomData xmlns:go="http://customooxmlschemas.google.com/" r:id="rId10" roundtripDataChecksum="700Hks6PHjcTPv3VGPOHO8x3Q6NaaV83FPoABXftv54="/>
    </ext>
  </extLst>
</workbook>
</file>

<file path=xl/sharedStrings.xml><?xml version="1.0" encoding="utf-8"?>
<sst xmlns="http://schemas.openxmlformats.org/spreadsheetml/2006/main" count="1156" uniqueCount="388">
  <si>
    <t>S. No.</t>
  </si>
  <si>
    <t>Date</t>
  </si>
  <si>
    <t>Party Name</t>
  </si>
  <si>
    <t>Kg(s)</t>
  </si>
  <si>
    <t>Shift</t>
  </si>
  <si>
    <t>Working Hours</t>
  </si>
  <si>
    <t>No. of Workers</t>
  </si>
  <si>
    <t>Material</t>
  </si>
  <si>
    <t>Labor Cost (₹)</t>
  </si>
  <si>
    <t>Electricity Units (kWh)</t>
  </si>
  <si>
    <t>Electricity Cost (₹)</t>
  </si>
  <si>
    <t>PNG Gas Consumption (MMBTU)</t>
  </si>
  <si>
    <t>PNG Cost (₹)</t>
  </si>
  <si>
    <t>Machine Utilization (%)</t>
  </si>
  <si>
    <t>Other Cost (Diesel+Jeep+etc)</t>
  </si>
  <si>
    <t>Total Input Cost (₹)</t>
  </si>
  <si>
    <t>Rate</t>
  </si>
  <si>
    <t>Production Output (₹)</t>
  </si>
  <si>
    <t>Efficiency (Output/Input)</t>
  </si>
  <si>
    <t>Remarks</t>
  </si>
  <si>
    <t>@</t>
  </si>
  <si>
    <t>Fitwell</t>
  </si>
  <si>
    <t>washer - 20m, 22m</t>
  </si>
  <si>
    <t>Precision</t>
  </si>
  <si>
    <t>hex nut - 14m</t>
  </si>
  <si>
    <t>Loyal</t>
  </si>
  <si>
    <t>24m nut, 20m nut</t>
  </si>
  <si>
    <t>Premco</t>
  </si>
  <si>
    <t>bolt</t>
  </si>
  <si>
    <t>22m, 30m lock/wheel nut</t>
  </si>
  <si>
    <t>Malhotra</t>
  </si>
  <si>
    <t>hex nut - 36m</t>
  </si>
  <si>
    <t>Udhera</t>
  </si>
  <si>
    <t>hex nut - 30m</t>
  </si>
  <si>
    <t>hex nut - 22,20,14,10m</t>
  </si>
  <si>
    <t>KV</t>
  </si>
  <si>
    <t>nut - sl, lock - 20,18m</t>
  </si>
  <si>
    <t>f/n - 10m</t>
  </si>
  <si>
    <t>Ginter</t>
  </si>
  <si>
    <t>d ring</t>
  </si>
  <si>
    <t>lock nut, sl nut - 24m</t>
  </si>
  <si>
    <t>hex screw - 16x100m</t>
  </si>
  <si>
    <t>Namdhari</t>
  </si>
  <si>
    <t>bolt - 36x190m</t>
  </si>
  <si>
    <t>hex nut - 22m</t>
  </si>
  <si>
    <t>screw big/small</t>
  </si>
  <si>
    <t>Aggarwal</t>
  </si>
  <si>
    <t>bolt and nut</t>
  </si>
  <si>
    <t>nut - 16m</t>
  </si>
  <si>
    <t>bolt, stud, nut</t>
  </si>
  <si>
    <t>Kirtan</t>
  </si>
  <si>
    <t>bolt - 10x35, 10x30, 10x60m</t>
  </si>
  <si>
    <t>sl - 18,24, 18m</t>
  </si>
  <si>
    <t>Komal</t>
  </si>
  <si>
    <t>-</t>
  </si>
  <si>
    <t>Radha</t>
  </si>
  <si>
    <t>D ring</t>
  </si>
  <si>
    <t>tooth</t>
  </si>
  <si>
    <t>n/b/w</t>
  </si>
  <si>
    <t>KIC</t>
  </si>
  <si>
    <t>Derby</t>
  </si>
  <si>
    <t>Kapoor Sons</t>
  </si>
  <si>
    <t>SUM of Kg(s)</t>
  </si>
  <si>
    <t>SUM of Production Output (₹)</t>
  </si>
  <si>
    <t>Grand Total</t>
  </si>
  <si>
    <t>Date Year</t>
  </si>
  <si>
    <t>Particulars</t>
  </si>
  <si>
    <t>Credit</t>
  </si>
  <si>
    <t>Debit</t>
  </si>
  <si>
    <t>Balance</t>
  </si>
  <si>
    <t>AGARWAL IRON INDUSTRIES</t>
  </si>
  <si>
    <t>OPENING BALANCE</t>
  </si>
  <si>
    <t>TO BILL NO. TI/00104</t>
  </si>
  <si>
    <t>TO BILL NO. TI/00022</t>
  </si>
  <si>
    <t>TO BILL NO. TI/00027</t>
  </si>
  <si>
    <t>TO BILL NO. TI/00038</t>
  </si>
  <si>
    <t>TO BILL NO. TI/00050</t>
  </si>
  <si>
    <t>DERBY INDUSTRIES.</t>
  </si>
  <si>
    <t>BY NEFT</t>
  </si>
  <si>
    <t>TO BILL NO. TI/00039</t>
  </si>
  <si>
    <t>BY Ch.No. TRF</t>
  </si>
  <si>
    <t>TO BILL NO. TI/00133</t>
  </si>
  <si>
    <t>BY TRF</t>
  </si>
  <si>
    <t>BY R/D</t>
  </si>
  <si>
    <t>TO BILL NO. TI/00159</t>
  </si>
  <si>
    <t>TO BILL NO. TI/00213</t>
  </si>
  <si>
    <t>TO BILL NO. TI/00257</t>
  </si>
  <si>
    <t>TO BILL NO. TI/00290</t>
  </si>
  <si>
    <t>FITWELL FASTNERS &amp; FITTING INDUSTRIES</t>
  </si>
  <si>
    <t>TO BILL NO. TI/00242</t>
  </si>
  <si>
    <t>TO BILL NO. TI/00244</t>
  </si>
  <si>
    <t>TO BILL NO. TI/00232</t>
  </si>
  <si>
    <t>TO BILL NO. TI/00238</t>
  </si>
  <si>
    <t>TO BILL NO. TI/00241</t>
  </si>
  <si>
    <t>TO BILL NO. TI/00247</t>
  </si>
  <si>
    <t>TO BILL NO. TI/00249</t>
  </si>
  <si>
    <t>TO BILL NO. TI/00250</t>
  </si>
  <si>
    <t>TO BILL NO. TI/00251</t>
  </si>
  <si>
    <t>TO BILL NO. TI/00001</t>
  </si>
  <si>
    <t>TO BILL NO. TI/00289</t>
  </si>
  <si>
    <t>TO BILL NO. TI/00291</t>
  </si>
  <si>
    <t>TO BILL NO. TI/00033</t>
  </si>
  <si>
    <t>TO BILL NO. TI/00292</t>
  </si>
  <si>
    <t>TO BILL NO. TI/00041</t>
  </si>
  <si>
    <t>TO BILL NO. TI/00053</t>
  </si>
  <si>
    <t>GINTER FORGING P. LTD.</t>
  </si>
  <si>
    <t>BY RTGS</t>
  </si>
  <si>
    <t>TO BILL NO. TI/00028</t>
  </si>
  <si>
    <t>TO BILL NO. TI/00032</t>
  </si>
  <si>
    <t>TO BILL NO. TI/00042</t>
  </si>
  <si>
    <t>TO BILL NO. TI/00047</t>
  </si>
  <si>
    <t>TO BILL NO. TI/00048</t>
  </si>
  <si>
    <t>TO BILL NO. TI/00052</t>
  </si>
  <si>
    <t>TO BILL NO. TI/00099</t>
  </si>
  <si>
    <t>TO BILL NO. TI/00130</t>
  </si>
  <si>
    <t>TO BILL NO. TI/00136</t>
  </si>
  <si>
    <t>TO BILL NO. TI/00140</t>
  </si>
  <si>
    <t>TO BILL NO. TI/00168</t>
  </si>
  <si>
    <t>TO BILL NO. TI/00171</t>
  </si>
  <si>
    <t>TO BILL NO. TI/00174</t>
  </si>
  <si>
    <t>TO BILL NO. TI/00178</t>
  </si>
  <si>
    <t>TO BILL NO. TI/00183</t>
  </si>
  <si>
    <t>TO BILL NO. TI/00190</t>
  </si>
  <si>
    <t>TO BILL NO. TI/00236</t>
  </si>
  <si>
    <t>TO BILL NO. TI/00013</t>
  </si>
  <si>
    <t>TO BILL NO. TI/00017</t>
  </si>
  <si>
    <t>TO BILL NO. TI/00020</t>
  </si>
  <si>
    <t>TO BILL NO. TI/00024</t>
  </si>
  <si>
    <t>TO BILL NO. TI/00026</t>
  </si>
  <si>
    <t>TO BILL NO. TI/00036</t>
  </si>
  <si>
    <t>TO BILL NO. TI/00037</t>
  </si>
  <si>
    <t>TO BILL NO. TI/00044</t>
  </si>
  <si>
    <t>TO BILL NO. TI/00058</t>
  </si>
  <si>
    <t>K.V.ENTERPRISES</t>
  </si>
  <si>
    <t>TO BILL NO. TI/00010</t>
  </si>
  <si>
    <t>TO BILL NO. TI/00014</t>
  </si>
  <si>
    <t>TO BILL NO. TI/00029</t>
  </si>
  <si>
    <t>KOMAL INDUSTRIAL</t>
  </si>
  <si>
    <t>TO BILL NO. TI/00030</t>
  </si>
  <si>
    <t>TO BILL NO. TI/00031</t>
  </si>
  <si>
    <t>BY KOMAL</t>
  </si>
  <si>
    <t>TO BILL NO. TI/00034</t>
  </si>
  <si>
    <t>TO BILL NO. TI/00035</t>
  </si>
  <si>
    <t>TO BILL NO. TI/00040</t>
  </si>
  <si>
    <t>BILL NO. 14</t>
  </si>
  <si>
    <t>BILL NO. 22</t>
  </si>
  <si>
    <t>CREDIT</t>
  </si>
  <si>
    <t>LAKSHMI STEELS</t>
  </si>
  <si>
    <t>TO BILL NO. TI/00283</t>
  </si>
  <si>
    <t>TO BILL NO. TI/00286</t>
  </si>
  <si>
    <t>TO BILL NO. TI/00288</t>
  </si>
  <si>
    <t>TO BILL NO. TI/00293</t>
  </si>
  <si>
    <t>TO BILL NO. TI/00294</t>
  </si>
  <si>
    <t>TO BILL NO. TI/00295</t>
  </si>
  <si>
    <t>TO BILL NO. TI/00296</t>
  </si>
  <si>
    <t>BILL NO. 1</t>
  </si>
  <si>
    <t>BILL NO. 3</t>
  </si>
  <si>
    <t>BILL NO. 5</t>
  </si>
  <si>
    <t>BILL NO. 6</t>
  </si>
  <si>
    <t>BILL NO. 8</t>
  </si>
  <si>
    <t>BY LAKSHMI</t>
  </si>
  <si>
    <t>LOYAL ENTERPRISES</t>
  </si>
  <si>
    <t>TO BILL NO. TI/00260</t>
  </si>
  <si>
    <t>TO BILL NO. TI/00261</t>
  </si>
  <si>
    <t>TO BILL NO. TI/00262</t>
  </si>
  <si>
    <t>TO BILL NO. TI/00263</t>
  </si>
  <si>
    <t>TO BILL NO. TI/00266</t>
  </si>
  <si>
    <t>TO BILL NO. TI/00268</t>
  </si>
  <si>
    <t>TO BILL NO. TI/00272</t>
  </si>
  <si>
    <t>TO BILL NO. TI/00003</t>
  </si>
  <si>
    <t>M.J.H SPCIAL STEEL</t>
  </si>
  <si>
    <t>TO BILL NO. TI/00012</t>
  </si>
  <si>
    <t>TO BILL NO. TI/00015</t>
  </si>
  <si>
    <t>TO BILL NO. TI/00018</t>
  </si>
  <si>
    <t>TO BILL NO. TI/00023</t>
  </si>
  <si>
    <t>TO BILL NO. TI/00067</t>
  </si>
  <si>
    <t>TO BILL NO. TI/00075</t>
  </si>
  <si>
    <t>TO BILL NO. TI/00102</t>
  </si>
  <si>
    <t>TO BILL NO. TI/00160</t>
  </si>
  <si>
    <t>TO BILL NO. TI/00169</t>
  </si>
  <si>
    <t>TO BILL NO. TI/00204</t>
  </si>
  <si>
    <t>TO BILL NO. TI/00216</t>
  </si>
  <si>
    <t>TO BILL NO. TI/00252</t>
  </si>
  <si>
    <t>TO BILL NO. TI/00265</t>
  </si>
  <si>
    <t>TO BILL NO. TI/00278</t>
  </si>
  <si>
    <t>MALHOTRA INDL. CORPN.</t>
  </si>
  <si>
    <t>TO BILL NO. TI/00011</t>
  </si>
  <si>
    <t>TO BILL NO. TI/00043</t>
  </si>
  <si>
    <t>TO BILL NO. TI/00051</t>
  </si>
  <si>
    <t>TO BILL NO. TI/00057</t>
  </si>
  <si>
    <t>TO BILL NO. TI/00077</t>
  </si>
  <si>
    <t>TO BILL NO. TI/00113</t>
  </si>
  <si>
    <t>TO BILL NO. TI/00135</t>
  </si>
  <si>
    <t>TO BILL NO. TI/00146</t>
  </si>
  <si>
    <t>TO BILL NO. TI/00186</t>
  </si>
  <si>
    <t>TO BILL NO. TI/00211</t>
  </si>
  <si>
    <t>TO BILL NO. TI/00256</t>
  </si>
  <si>
    <t>TO BILL NO. TI/00007</t>
  </si>
  <si>
    <t>TO BILL NO. TI/00054</t>
  </si>
  <si>
    <t>TO BILL NO. TI/00055</t>
  </si>
  <si>
    <t>N.P.FASTNERS</t>
  </si>
  <si>
    <t>TO BILL NO. TI/00005</t>
  </si>
  <si>
    <t>TO BILL NO. TI/00025</t>
  </si>
  <si>
    <t>TO BILL NO. TI/00045</t>
  </si>
  <si>
    <t>TO BILL NO. TI/00061</t>
  </si>
  <si>
    <t>TO BILL NO. TI/00064</t>
  </si>
  <si>
    <t>TO BILL NO. TI/00065</t>
  </si>
  <si>
    <t>TO BILL NO. TI/00069</t>
  </si>
  <si>
    <t>TO BILL NO. TI/00072</t>
  </si>
  <si>
    <t>TO BILL NO. TI/00076</t>
  </si>
  <si>
    <t>TO BILL NO. TI/00082</t>
  </si>
  <si>
    <t>TO BILL NO. TI/00088</t>
  </si>
  <si>
    <t>TO BILL NO. TI/00093</t>
  </si>
  <si>
    <t>TO BILL NO. TI/00095</t>
  </si>
  <si>
    <t>TO BILL NO. TI/00096</t>
  </si>
  <si>
    <t>TO BILL NO. TI/00105</t>
  </si>
  <si>
    <t>TO BILL NO. TI/00110</t>
  </si>
  <si>
    <t>TO BILL NO. TI/00114</t>
  </si>
  <si>
    <t>TO BILL NO. TI/00117</t>
  </si>
  <si>
    <t>TO BILL NO. TI/00129</t>
  </si>
  <si>
    <t>TO BILL NO. TI/00141</t>
  </si>
  <si>
    <t>TO BILL NO. TI/00149</t>
  </si>
  <si>
    <t>TO BILL NO. TI/00154</t>
  </si>
  <si>
    <t>TO BILL NO. TI/00155</t>
  </si>
  <si>
    <t>TO BILL NO. TI/00162</t>
  </si>
  <si>
    <t>TO BILL NO. TI/00167</t>
  </si>
  <si>
    <t>TO BILL NO. TI/00176</t>
  </si>
  <si>
    <t>TO BILL NO. TI/00201</t>
  </si>
  <si>
    <t>TO BILL NO. TI/00209</t>
  </si>
  <si>
    <t>TO BILL NO. TI/00214</t>
  </si>
  <si>
    <t>TO BILL NO. TI/00234</t>
  </si>
  <si>
    <t>TO BILL NO. TI/00285</t>
  </si>
  <si>
    <t>NAMDHARI INDUSTRIAL TRADERS PVT.LTD.</t>
  </si>
  <si>
    <t>TO BILL NO. TI/00016</t>
  </si>
  <si>
    <t>TO BILL NO. TI/00021</t>
  </si>
  <si>
    <t>TO BILL NO. TI/00049</t>
  </si>
  <si>
    <t>PRECISION AUTO FASTNERS</t>
  </si>
  <si>
    <t>TO BILL NO. TI/00267</t>
  </si>
  <si>
    <t>TO BILL NO. TI/00271</t>
  </si>
  <si>
    <t>TO BILL NO. TI/00002</t>
  </si>
  <si>
    <t>TO BILL NO. TI/00009</t>
  </si>
  <si>
    <t>TO BILL NO. TI/00019</t>
  </si>
  <si>
    <t>TO BILL NO. TI/00056</t>
  </si>
  <si>
    <t>PREMCO INDIA EXIM PVT. LTD.</t>
  </si>
  <si>
    <t>TO BILL NO. TI/00059</t>
  </si>
  <si>
    <t>TO BILL NO. TI/00066</t>
  </si>
  <si>
    <t>TO BILL NO. TI/00079</t>
  </si>
  <si>
    <t>TO BILL NO. TI/00080</t>
  </si>
  <si>
    <t>TO BILL NO. TI/00083</t>
  </si>
  <si>
    <t>TO BILL NO. TI/00087</t>
  </si>
  <si>
    <t>TO BILL NO. TI/00090</t>
  </si>
  <si>
    <t>TO BILL NO. TI/00091</t>
  </si>
  <si>
    <t>TO BILL NO. TI/00092</t>
  </si>
  <si>
    <t>TO BILL NO. TI/00097</t>
  </si>
  <si>
    <t>TO BILL NO. TI/00100</t>
  </si>
  <si>
    <t>TO BILL NO. TI/00107</t>
  </si>
  <si>
    <t>TO BILL NO. TI/00124</t>
  </si>
  <si>
    <t>TO BILL NO. TI/00143</t>
  </si>
  <si>
    <t>TO BILL NO. TI/00151</t>
  </si>
  <si>
    <t>TO BILL NO. TI/00156</t>
  </si>
  <si>
    <t>TO BILL NO. TI/00165</t>
  </si>
  <si>
    <t>TO BILL NO. TI/00180</t>
  </si>
  <si>
    <t>TO BILL NO. TI/00191</t>
  </si>
  <si>
    <t>TO BILL NO. TI/00200</t>
  </si>
  <si>
    <t>TO BILL NO. TI/00208</t>
  </si>
  <si>
    <t>TO BILL NO. TI/00220</t>
  </si>
  <si>
    <t>TO BILL NO. TI/00225</t>
  </si>
  <si>
    <t>TO BILL NO. TI/00226</t>
  </si>
  <si>
    <t>TO BILL NO. TI/00235</t>
  </si>
  <si>
    <t>TO BILL NO. TI/00246</t>
  </si>
  <si>
    <t>TO BILL NO. TI/00259</t>
  </si>
  <si>
    <t>TO BILL NO. TI/00273</t>
  </si>
  <si>
    <t>TO BILL NO. TI/00004</t>
  </si>
  <si>
    <t>TO BILL NO. TI/00275</t>
  </si>
  <si>
    <t>TO BILL NO. TI/00006</t>
  </si>
  <si>
    <t>TO BILL NO. TI/00277</t>
  </si>
  <si>
    <t>TO BILL NO. TI/00279</t>
  </si>
  <si>
    <t>TO BILL NO. TI/00282</t>
  </si>
  <si>
    <t>TO BILL NO. TI/00287</t>
  </si>
  <si>
    <t>RADHA INDUSTRIES</t>
  </si>
  <si>
    <t>TO BILL NO. TI/00060</t>
  </si>
  <si>
    <t>TO BILL NO. TI/00046</t>
  </si>
  <si>
    <t>TO BILL NO. TI/00298</t>
  </si>
  <si>
    <t>RANJIT ENTERPRISES</t>
  </si>
  <si>
    <t>BY Ch.No. 035548</t>
  </si>
  <si>
    <t>TO BILL NO. TI/00062</t>
  </si>
  <si>
    <t>TO BILL NO. TI/00063</t>
  </si>
  <si>
    <t>TO BILL NO. TI/00070</t>
  </si>
  <si>
    <t>TO BILL NO. TI/00071</t>
  </si>
  <si>
    <t>TO BILL NO. TI/00073</t>
  </si>
  <si>
    <t>TO BILL NO. TI/00074</t>
  </si>
  <si>
    <t>TO BILL NO. TI/00078</t>
  </si>
  <si>
    <t>TO BILL NO. TI/00084</t>
  </si>
  <si>
    <t>TO BILL NO. TI/00086</t>
  </si>
  <si>
    <t>TO BILL NO. TI/00094</t>
  </si>
  <si>
    <t>TO BILL NO. TI/00098</t>
  </si>
  <si>
    <t>TO BILL NO. TI/00101</t>
  </si>
  <si>
    <t>TO BILL NO. TI/00106</t>
  </si>
  <si>
    <t>TO BILL NO. TI/00108</t>
  </si>
  <si>
    <t>TO BILL NO. TI/00109</t>
  </si>
  <si>
    <t>TO BILL NO. TI/00111</t>
  </si>
  <si>
    <t>TO BILL NO. TI/00112</t>
  </si>
  <si>
    <t>TO BILL NO. TI/00116</t>
  </si>
  <si>
    <t>TO BILL NO. TI/00119</t>
  </si>
  <si>
    <t>TO BILL NO. TI/00125</t>
  </si>
  <si>
    <t>TO BILL NO. TI/00126</t>
  </si>
  <si>
    <t>TO BILL NO. TI/00127</t>
  </si>
  <si>
    <t>TO BILL NO. TI/00134</t>
  </si>
  <si>
    <t>TO BILL NO. TI/00139</t>
  </si>
  <si>
    <t>TO BILL NO. TI/00142</t>
  </si>
  <si>
    <t>TO BILL NO. TI/00144</t>
  </si>
  <si>
    <t>TO BILL NO. TI/00147</t>
  </si>
  <si>
    <t>TO BILL NO. TI/00150</t>
  </si>
  <si>
    <t>TO BILL NO. TI/00152</t>
  </si>
  <si>
    <t>BY Ch.No. trf</t>
  </si>
  <si>
    <t>TO BILL NO. TI/00158</t>
  </si>
  <si>
    <t>TO BILL NO. TI/00163</t>
  </si>
  <si>
    <t>TO BILL NO. TI/00164</t>
  </si>
  <si>
    <t>TO BILL NO. TI/00172</t>
  </si>
  <si>
    <t>TO BILL NO. TI/00173</t>
  </si>
  <si>
    <t>TO BILL NO. TI/00179</t>
  </si>
  <si>
    <t>TO BILL NO. TI/00181</t>
  </si>
  <si>
    <t>TO BILL NO. TI/00182</t>
  </si>
  <si>
    <t>TO BILL NO. TI/00184</t>
  </si>
  <si>
    <t>TO BILL NO. TI/00185</t>
  </si>
  <si>
    <t>TO BILL NO. TI/00187</t>
  </si>
  <si>
    <t>TO BILL NO. TI/00189</t>
  </si>
  <si>
    <t>TO BILL NO. TI/00192</t>
  </si>
  <si>
    <t>TO BILL NO. TI/00193</t>
  </si>
  <si>
    <t>TO BILL NO. TI/00194</t>
  </si>
  <si>
    <t>TO BILL NO. TI/00195</t>
  </si>
  <si>
    <t>TO BILL NO. TI/00197</t>
  </si>
  <si>
    <t>TO BILL NO. TI/00198</t>
  </si>
  <si>
    <t>TO BILL NO. TI/00199</t>
  </si>
  <si>
    <t>TO BILL NO. TI/00202</t>
  </si>
  <si>
    <t>TO BILL NO. TI/00205</t>
  </si>
  <si>
    <t>TO BILL NO. TI/00207</t>
  </si>
  <si>
    <t>TO BILL NO. TI/00212</t>
  </si>
  <si>
    <t>TO BILL NO. TI/00215</t>
  </si>
  <si>
    <t>TO BILL NO. TI/00217</t>
  </si>
  <si>
    <t>TO BILL NO. TI/00218</t>
  </si>
  <si>
    <t>TO BILL NO. TI/00223</t>
  </si>
  <si>
    <t>TO BILL NO. TI/00227</t>
  </si>
  <si>
    <t>TO BILL NO. TI/00230</t>
  </si>
  <si>
    <t>TO BILL NO. TI/00231</t>
  </si>
  <si>
    <t>TO BILL NO. TI/00233</t>
  </si>
  <si>
    <t>TO BILL NO. TI/00239</t>
  </si>
  <si>
    <t>TO BILL NO. TI/00240</t>
  </si>
  <si>
    <t>TO BILL NO. TI/00245</t>
  </si>
  <si>
    <t>TO BILL NO. TI/00248</t>
  </si>
  <si>
    <t>TO BILL NO. TI/00254</t>
  </si>
  <si>
    <t>TO BILL NO. TI/00258</t>
  </si>
  <si>
    <t>TO BILL NO. TI/00264</t>
  </si>
  <si>
    <t>TO BILL NO. TI/00269</t>
  </si>
  <si>
    <t>TO BILL NO. TI/00270</t>
  </si>
  <si>
    <t>TO BILL NO. TI/00274</t>
  </si>
  <si>
    <t>TO BILL NO. TI/00276</t>
  </si>
  <si>
    <t>TO BILL NO. TI/00280</t>
  </si>
  <si>
    <t>TO BILL NO. TI/00281</t>
  </si>
  <si>
    <t>TO BILL NO. TI/00284</t>
  </si>
  <si>
    <t>SOND NUT &amp; BOLT.</t>
  </si>
  <si>
    <t>TO BILL NO. TI/00068</t>
  </si>
  <si>
    <t>TO BILL NO. TI/00089</t>
  </si>
  <si>
    <t>TO BILL NO. TI/00103</t>
  </si>
  <si>
    <t>TO BILL NO. TI/00131</t>
  </si>
  <si>
    <t>TO BILL NO. TI/00132</t>
  </si>
  <si>
    <t>TO BILL NO. TI/00137</t>
  </si>
  <si>
    <t>TO BILL NO. TI/00138</t>
  </si>
  <si>
    <t>TO BILL NO. TI/00145</t>
  </si>
  <si>
    <t>TO BILL NO. TI/00148</t>
  </si>
  <si>
    <t>TO BILL NO. TI/00166</t>
  </si>
  <si>
    <t>TO BILL NO. TI/00170</t>
  </si>
  <si>
    <t>TO BILL NO. TI/00175</t>
  </si>
  <si>
    <t>TO BILL NO. TI/00188</t>
  </si>
  <si>
    <t>TO BILL NO. TI/00196</t>
  </si>
  <si>
    <t>TO BILL NO. TI/00203</t>
  </si>
  <si>
    <t>TO BILL NO. TI/00206</t>
  </si>
  <si>
    <t>TO BILL NO. TI/00210</t>
  </si>
  <si>
    <t>TO TRF</t>
  </si>
  <si>
    <t>TO RETURN</t>
  </si>
  <si>
    <t>TO BILL NO. TI/00224</t>
  </si>
  <si>
    <t>TO BILL NO. TI/00228</t>
  </si>
  <si>
    <t>TO BILL NO. TI/00229</t>
  </si>
  <si>
    <t>TO BILL NO. TI/00237</t>
  </si>
  <si>
    <t>UDEHRA FASTNERS</t>
  </si>
  <si>
    <t>TO BILL NO. TI/00008</t>
  </si>
  <si>
    <t>SUM of Debit</t>
  </si>
  <si>
    <t>SUM of Credit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</si>
</sst>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₹&quot;#,##0.00"/>
    <numFmt numFmtId="165" formatCode="m/d/yyyy"/>
    <numFmt numFmtId="166" formatCode="mm/dd/yyyy"/>
    <numFmt numFmtId="167" formatCode="M/d/yyyy"/>
  </numFmts>
  <fonts count="8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>
      <sz val="12.0"/>
      <color theme="1"/>
      <name val="Calibri"/>
      <scheme val="minor"/>
    </font>
    <font>
      <sz val="12.0"/>
      <color rgb="FF000000"/>
      <name val="&quot;Aptos Narrow&quot;"/>
    </font>
    <font>
      <sz val="12.0"/>
      <color rgb="FF000000"/>
      <name val="Arial"/>
    </font>
    <font>
      <sz val="12.0"/>
      <color rgb="FF000000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0E6F5"/>
        <bgColor rgb="FFC0E6F5"/>
      </patternFill>
    </fill>
  </fills>
  <borders count="4">
    <border/>
    <border>
      <right style="thin">
        <color rgb="FF44B3E1"/>
      </right>
      <top style="thin">
        <color rgb="FF44B3E1"/>
      </top>
      <bottom style="thin">
        <color rgb="FF44B3E1"/>
      </bottom>
    </border>
    <border>
      <top style="thin">
        <color rgb="FF44B3E1"/>
      </top>
      <bottom style="thin">
        <color rgb="FF44B3E1"/>
      </bottom>
    </border>
    <border>
      <left style="thin">
        <color rgb="FF44B3E1"/>
      </left>
      <top style="thin">
        <color rgb="FF44B3E1"/>
      </top>
      <bottom style="thin">
        <color rgb="FF44B3E1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shrinkToFit="0" vertical="center" wrapText="0"/>
    </xf>
    <xf borderId="0" fillId="0" fontId="2" numFmtId="14" xfId="0" applyAlignment="1" applyFont="1" applyNumberFormat="1">
      <alignment shrinkToFit="0" vertical="center" wrapText="0"/>
    </xf>
    <xf borderId="0" fillId="0" fontId="2" numFmtId="2" xfId="0" applyAlignment="1" applyFont="1" applyNumberFormat="1">
      <alignment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3" numFmtId="2" xfId="0" applyAlignment="1" applyFont="1" applyNumberFormat="1">
      <alignment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4" xfId="0" applyFont="1" applyNumberFormat="1"/>
    <xf borderId="0" fillId="0" fontId="4" numFmtId="0" xfId="0" applyAlignment="1" applyFont="1">
      <alignment horizontal="left" readingOrder="0" shrinkToFit="0" vertical="bottom" wrapText="0"/>
    </xf>
    <xf borderId="0" fillId="0" fontId="4" numFmtId="49" xfId="0" applyAlignment="1" applyFont="1" applyNumberFormat="1">
      <alignment horizontal="left"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1" fillId="2" fontId="6" numFmtId="167" xfId="0" applyAlignment="1" applyBorder="1" applyFill="1" applyFont="1" applyNumberFormat="1">
      <alignment readingOrder="0" shrinkToFit="0" vertical="bottom" wrapText="0"/>
    </xf>
    <xf borderId="2" fillId="2" fontId="5" numFmtId="0" xfId="0" applyAlignment="1" applyBorder="1" applyFont="1">
      <alignment readingOrder="0" shrinkToFit="0" vertical="bottom" wrapText="0"/>
    </xf>
    <xf borderId="3" fillId="2" fontId="5" numFmtId="0" xfId="0" applyAlignment="1" applyBorder="1" applyFont="1">
      <alignment readingOrder="0" shrinkToFit="0" vertical="bottom" wrapText="0"/>
    </xf>
    <xf borderId="2" fillId="2" fontId="5" numFmtId="0" xfId="0" applyAlignment="1" applyBorder="1" applyFont="1">
      <alignment horizontal="right" readingOrder="0" shrinkToFit="0" vertical="bottom" wrapText="0"/>
    </xf>
    <xf borderId="1" fillId="0" fontId="6" numFmtId="167" xfId="0" applyAlignment="1" applyBorder="1" applyFont="1" applyNumberFormat="1">
      <alignment readingOrder="0" shrinkToFit="0" vertical="bottom" wrapText="0"/>
    </xf>
    <xf borderId="3" fillId="0" fontId="5" numFmtId="0" xfId="0" applyAlignment="1" applyBorder="1" applyFont="1">
      <alignment readingOrder="0" shrinkToFit="0" vertical="bottom" wrapText="0"/>
    </xf>
    <xf borderId="2" fillId="0" fontId="5" numFmtId="0" xfId="0" applyAlignment="1" applyBorder="1" applyFont="1">
      <alignment readingOrder="0" shrinkToFit="0" vertical="bottom" wrapText="0"/>
    </xf>
    <xf borderId="2" fillId="0" fontId="5" numFmtId="0" xfId="0" applyAlignment="1" applyBorder="1" applyFont="1">
      <alignment horizontal="right"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1" fillId="2" fontId="5" numFmtId="167" xfId="0" applyAlignment="1" applyBorder="1" applyFont="1" applyNumberFormat="1">
      <alignment readingOrder="0" shrinkToFit="0" vertical="bottom" wrapText="0"/>
    </xf>
    <xf borderId="1" fillId="0" fontId="5" numFmtId="167" xfId="0" applyAlignment="1" applyBorder="1" applyFont="1" applyNumberFormat="1">
      <alignment readingOrder="0" shrinkToFit="0" vertical="bottom" wrapText="0"/>
    </xf>
    <xf borderId="1" fillId="2" fontId="7" numFmtId="167" xfId="0" applyAlignment="1" applyBorder="1" applyFont="1" applyNumberFormat="1">
      <alignment readingOrder="0" shrinkToFit="0" vertical="bottom" wrapText="0"/>
    </xf>
    <xf borderId="2" fillId="2" fontId="7" numFmtId="0" xfId="0" applyAlignment="1" applyBorder="1" applyFont="1">
      <alignment readingOrder="0" shrinkToFit="0" vertical="bottom" wrapText="0"/>
    </xf>
    <xf borderId="3" fillId="2" fontId="7" numFmtId="0" xfId="0" applyAlignment="1" applyBorder="1" applyFont="1">
      <alignment readingOrder="0" shrinkToFit="0" vertical="bottom" wrapText="0"/>
    </xf>
    <xf borderId="2" fillId="2" fontId="7" numFmtId="0" xfId="0" applyAlignment="1" applyBorder="1" applyFont="1">
      <alignment horizontal="right" readingOrder="0" shrinkToFit="0" vertical="bottom" wrapText="0"/>
    </xf>
    <xf borderId="1" fillId="0" fontId="7" numFmtId="167" xfId="0" applyAlignment="1" applyBorder="1" applyFont="1" applyNumberFormat="1">
      <alignment readingOrder="0" shrinkToFit="0" vertical="bottom" wrapText="0"/>
    </xf>
    <xf borderId="3" fillId="0" fontId="7" numFmtId="0" xfId="0" applyAlignment="1" applyBorder="1" applyFont="1">
      <alignment readingOrder="0" shrinkToFit="0" vertical="bottom" wrapText="0"/>
    </xf>
    <xf borderId="2" fillId="0" fontId="7" numFmtId="0" xfId="0" applyAlignment="1" applyBorder="1" applyFont="1">
      <alignment readingOrder="0" shrinkToFit="0" vertical="bottom" wrapText="0"/>
    </xf>
    <xf borderId="2" fillId="0" fontId="7" numFmtId="0" xfId="0" applyAlignment="1" applyBorder="1" applyFont="1">
      <alignment horizontal="right" readingOrder="0" shrinkToFit="0" vertical="bottom" wrapText="0"/>
    </xf>
    <xf borderId="0" fillId="0" fontId="4" numFmtId="165" xfId="0" applyAlignment="1" applyFont="1" applyNumberFormat="1">
      <alignment horizontal="right" shrinkToFit="0" vertical="bottom" wrapText="0"/>
    </xf>
    <xf borderId="0" fillId="0" fontId="4" numFmtId="0" xfId="0" applyAlignment="1" applyFont="1">
      <alignment horizontal="right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167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center" wrapText="0"/>
    </xf>
    <xf borderId="0" fillId="0" fontId="4" numFmtId="167" xfId="0" applyAlignment="1" applyFont="1" applyNumberFormat="1">
      <alignment horizontal="right" shrinkToFit="0" vertical="bottom" wrapText="0"/>
    </xf>
    <xf borderId="0" fillId="0" fontId="0" numFmtId="0" xfId="0" applyAlignment="1" applyFont="1">
      <alignment shrinkToFit="0" vertical="bottom" wrapText="0"/>
    </xf>
    <xf borderId="0" fillId="0" fontId="0" numFmtId="0" xfId="0" applyAlignment="1" applyFont="1">
      <alignment horizontal="right" shrinkToFit="0" vertical="bottom" wrapText="0"/>
    </xf>
    <xf borderId="0" fillId="0" fontId="5" numFmtId="0" xfId="0" applyAlignment="1" applyFont="1">
      <alignment shrinkToFit="0" vertical="bottom" wrapText="0"/>
    </xf>
    <xf borderId="3" fillId="0" fontId="6" numFmtId="0" xfId="0" applyAlignment="1" applyBorder="1" applyFont="1">
      <alignment readingOrder="0" shrinkToFit="0" vertical="bottom" wrapText="0"/>
    </xf>
    <xf borderId="2" fillId="0" fontId="6" numFmtId="0" xfId="0" applyAlignment="1" applyBorder="1" applyFont="1">
      <alignment readingOrder="0" shrinkToFit="0" vertical="bottom" wrapText="0"/>
    </xf>
    <xf borderId="2" fillId="0" fontId="5" numFmtId="0" xfId="0" applyAlignment="1" applyBorder="1" applyFont="1">
      <alignment shrinkToFit="0" vertical="bottom" wrapText="0"/>
    </xf>
    <xf borderId="2" fillId="2" fontId="5" numFmtId="0" xfId="0" applyAlignment="1" applyBorder="1" applyFont="1">
      <alignment shrinkToFit="0" vertical="bottom" wrapText="0"/>
    </xf>
    <xf borderId="2" fillId="2" fontId="5" numFmtId="0" xfId="0" applyAlignment="1" applyBorder="1" applyFont="1">
      <alignment shrinkToFit="0" vertical="bottom" wrapText="0"/>
    </xf>
    <xf borderId="2" fillId="0" fontId="5" numFmtId="0" xfId="0" applyAlignment="1" applyBorder="1" applyFont="1">
      <alignment shrinkToFit="0" vertical="bottom" wrapText="0"/>
    </xf>
    <xf borderId="2" fillId="2" fontId="7" numFmtId="0" xfId="0" applyAlignment="1" applyBorder="1" applyFont="1">
      <alignment shrinkToFit="0" vertical="bottom" wrapText="0"/>
    </xf>
    <xf borderId="2" fillId="2" fontId="7" numFmtId="0" xfId="0" applyAlignment="1" applyBorder="1" applyFont="1">
      <alignment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Daily Production Matrix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edger Repor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pivotCacheDefinition" Target="pivotCache/pivotCacheDefinition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pivotCacheDefinition" Target="pivotCache/pivotCacheDefinition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228600</xdr:colOff>
      <xdr:row>0</xdr:row>
      <xdr:rowOff>0</xdr:rowOff>
    </xdr:from>
    <xdr:ext cx="5200650" cy="2867025"/>
    <xdr:pic>
      <xdr:nvPicPr>
        <xdr:cNvPr id="17508870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114300</xdr:colOff>
      <xdr:row>16</xdr:row>
      <xdr:rowOff>28575</xdr:rowOff>
    </xdr:from>
    <xdr:ext cx="4343400" cy="2867025"/>
    <xdr:pic>
      <xdr:nvPicPr>
        <xdr:cNvPr id="855084350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28575</xdr:rowOff>
    </xdr:from>
    <xdr:ext cx="4638675" cy="2867025"/>
    <xdr:pic>
      <xdr:nvPicPr>
        <xdr:cNvPr id="85558350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R87" sheet="Daily Production Matrix"/>
  </cacheSource>
  <cacheFields>
    <cacheField name="S. No.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</sharedItems>
    </cacheField>
    <cacheField name="Date" numFmtId="14">
      <sharedItems containsSemiMixedTypes="0" containsDate="1" containsString="0">
        <d v="2026-02-28T00:00:00Z"/>
        <d v="2026-03-02T00:00:00Z"/>
        <d v="2026-03-03T00:00:00Z"/>
        <d v="2026-03-06T00:00:00Z"/>
        <d v="2026-03-07T00:00:00Z"/>
        <d v="2026-03-10T00:00:00Z"/>
        <d v="2026-03-12T00:00:00Z"/>
        <d v="2026-03-13T00:00:00Z"/>
        <d v="2026-03-14T00:00:00Z"/>
        <d v="2026-03-16T00:00:00Z"/>
        <d v="2026-03-17T00:00:00Z"/>
        <d v="2026-03-18T00:00:00Z"/>
        <d v="2026-03-19T00:00:00Z"/>
        <d v="2026-03-20T00:00:00Z"/>
        <d v="2026-03-21T00:00:00Z"/>
        <d v="2026-03-23T00:00:00Z"/>
        <d v="2026-03-24T00:00:00Z"/>
        <d v="2026-03-25T00:00:00Z"/>
        <d v="2026-03-26T00:00:00Z"/>
        <d v="2026-03-27T00:00:00Z"/>
        <d v="2026-03-30T00:00:00Z"/>
        <d v="2026-03-31T00:00:00Z"/>
        <d v="2026-04-01T00:00:00Z"/>
        <d v="2026-04-04T00:00:00Z"/>
        <d v="2026-04-06T00:00:00Z"/>
        <d v="2026-04-07T00:00:00Z"/>
        <d v="2026-04-11T00:00:00Z"/>
        <d v="2026-04-13T00:00:00Z"/>
        <d v="2026-04-16T00:00:00Z"/>
        <d v="2026-04-18T00:00:00Z"/>
      </sharedItems>
    </cacheField>
    <cacheField name="Party Name" numFmtId="0">
      <sharedItems>
        <s v="Fitwell"/>
        <s v="Precision"/>
        <s v="Loyal"/>
        <s v="Premco"/>
        <s v="Malhotra"/>
        <s v="Udhera"/>
        <s v="KV"/>
        <s v="Ginter"/>
        <s v="Namdhari"/>
        <s v="Aggarwal"/>
        <s v="Kirtan"/>
        <s v="Komal"/>
        <s v="Radha"/>
        <s v="KIC"/>
        <s v="Derby"/>
        <s v="Kapoor Sons"/>
      </sharedItems>
    </cacheField>
    <cacheField name="Kg(s)" numFmtId="2">
      <sharedItems containsSemiMixedTypes="0" containsString="0" containsNumber="1">
        <n v="450.0"/>
        <n v="315.0"/>
        <n v="3931.0"/>
        <n v="301.0"/>
        <n v="596.0"/>
        <n v="1250.0"/>
        <n v="1396.0"/>
        <n v="2710.0"/>
        <n v="1015.0"/>
        <n v="717.5"/>
        <n v="383.0"/>
        <n v="2700.0"/>
        <n v="2550.0"/>
        <n v="645.0"/>
        <n v="300.0"/>
        <n v="410.0"/>
        <n v="220.0"/>
        <n v="1694.0"/>
        <n v="1120.0"/>
        <n v="1545.0"/>
        <n v="1940.0"/>
        <n v="2875.0"/>
        <n v="501.0"/>
        <n v="3885.0"/>
        <n v="1850.0"/>
        <n v="3353.0"/>
        <n v="460.0"/>
        <n v="4146.5"/>
        <n v="3023.0"/>
        <n v="903.0"/>
        <n v="1790.5"/>
        <n v="5094.0"/>
        <n v="2373.0"/>
        <n v="3000.0"/>
        <n v="1730.0"/>
        <n v="2900.0"/>
        <n v="1525.0"/>
        <n v="2500.0"/>
        <n v="1105.0"/>
        <n v="625.0"/>
        <n v="2825.0"/>
        <n v="2079.0"/>
        <n v="1300.0"/>
        <n v="3330.0"/>
        <n v="2890.0"/>
        <n v="1580.0"/>
        <n v="3106.0"/>
        <n v="2130.0"/>
        <n v="704.6"/>
        <n v="1534.6"/>
        <n v="1252.0"/>
        <n v="701.0"/>
        <n v="477.0"/>
        <n v="2695.0"/>
        <n v="1275.0"/>
        <n v="1380.0"/>
        <n v="1037.0"/>
        <n v="1245.0"/>
        <n v="400.0"/>
        <n v="250.0"/>
        <n v="396.0"/>
        <n v="1112.0"/>
        <n v="1218.0"/>
        <n v="3050.0"/>
        <n v="1492.0"/>
        <n v="3120.0"/>
        <n v="1688.0"/>
        <n v="2706.0"/>
        <n v="1000.0"/>
        <n v="2928.5"/>
        <n v="1150.0"/>
        <n v="2040.0"/>
        <n v="618.0"/>
        <n v="953.0"/>
        <n v="2000.0"/>
        <n v="1045.0"/>
        <n v="3230.0"/>
        <n v="2071.0"/>
        <n v="527.0"/>
        <n v="704.0"/>
        <n v="482.0"/>
        <n v="768.0"/>
        <n v="3069.0"/>
        <n v="3546.0"/>
        <n v="9592.0"/>
      </sharedItems>
    </cacheField>
    <cacheField name="Shift" numFmtId="0">
      <sharedItems containsString="0" containsBlank="1">
        <m/>
      </sharedItems>
    </cacheField>
    <cacheField name="Working Hours" numFmtId="0">
      <sharedItems containsString="0" containsBlank="1">
        <m/>
      </sharedItems>
    </cacheField>
    <cacheField name="No. of Workers" numFmtId="0">
      <sharedItems containsString="0" containsBlank="1">
        <m/>
      </sharedItems>
    </cacheField>
    <cacheField name="Material" numFmtId="0">
      <sharedItems>
        <s v="washer - 20m, 22m"/>
        <s v="hex nut - 14m"/>
        <s v="24m nut, 20m nut"/>
        <s v="bolt"/>
        <s v="22m, 30m lock/wheel nut"/>
        <s v="hex nut - 36m"/>
        <s v="hex nut - 30m"/>
        <s v="hex nut - 22,20,14,10m"/>
        <s v="nut - sl, lock - 20,18m"/>
        <s v="f/n - 10m"/>
        <s v="d ring"/>
        <s v="lock nut, sl nut - 24m"/>
        <s v="hex screw - 16x100m"/>
        <s v="bolt - 36x190m"/>
        <s v="hex nut - 22m"/>
        <s v="screw big/small"/>
        <s v="bolt and nut"/>
        <s v="nut - 16m"/>
        <s v="bolt, stud, nut"/>
        <s v="bolt - 10x35, 10x30, 10x60m"/>
        <s v="sl - 18,24, 18m"/>
        <s v="-"/>
        <s v="tooth"/>
        <s v="n/b/w"/>
      </sharedItems>
    </cacheField>
    <cacheField name="Labor Cost (₹)" numFmtId="0">
      <sharedItems containsString="0" containsBlank="1">
        <m/>
      </sharedItems>
    </cacheField>
    <cacheField name="Electricity Units (kWh)" numFmtId="0">
      <sharedItems containsString="0" containsBlank="1">
        <m/>
      </sharedItems>
    </cacheField>
    <cacheField name="Electricity Cost (₹)" numFmtId="0">
      <sharedItems containsString="0" containsBlank="1">
        <m/>
      </sharedItems>
    </cacheField>
    <cacheField name="PNG Gas Consumption (MMBTU)" numFmtId="0">
      <sharedItems containsString="0" containsBlank="1">
        <m/>
      </sharedItems>
    </cacheField>
    <cacheField name="PNG Cost (₹)" numFmtId="0">
      <sharedItems containsString="0" containsBlank="1">
        <m/>
      </sharedItems>
    </cacheField>
    <cacheField name="Machine Utilization (%)" numFmtId="0">
      <sharedItems containsString="0" containsBlank="1">
        <m/>
      </sharedItems>
    </cacheField>
    <cacheField name="Other Cost (Diesel+Jeep+etc)" numFmtId="0">
      <sharedItems containsString="0" containsBlank="1">
        <m/>
      </sharedItems>
    </cacheField>
    <cacheField name="Total Input Cost (₹)" numFmtId="0">
      <sharedItems containsString="0" containsBlank="1">
        <m/>
      </sharedItems>
    </cacheField>
    <cacheField name="Rate" numFmtId="164">
      <sharedItems containsSemiMixedTypes="0" containsString="0" containsNumber="1">
        <n v="8.26"/>
        <n v="10.62"/>
        <n v="9.44"/>
        <n v="10.0"/>
        <n v="8.85"/>
        <n v="12.39"/>
        <n v="11.8"/>
        <n v="11.51"/>
        <n v="8.0"/>
        <n v="9.0"/>
        <n v="5.9"/>
        <n v="10.03"/>
        <n v="6.0"/>
        <n v="6.36"/>
        <n v="8.7"/>
        <n v="10.33"/>
        <n v="9.37"/>
        <n v="7.01"/>
        <n v="7.97"/>
        <n v="14.75"/>
      </sharedItems>
    </cacheField>
    <cacheField name="Production Output (₹)" numFmtId="164">
      <sharedItems containsSemiMixedTypes="0" containsString="0" containsNumber="1" containsInteger="1">
        <n v="3716.0"/>
        <n v="2601.0"/>
        <n v="32471.0"/>
        <n v="3197.0"/>
        <n v="4922.0"/>
        <n v="11800.0"/>
        <n v="13960.0"/>
        <n v="22384.0"/>
        <n v="8383.0"/>
        <n v="6774.0"/>
        <n v="3163.0"/>
        <n v="22302.0"/>
        <n v="22567.0"/>
        <n v="6088.0"/>
        <n v="3186.0"/>
        <n v="5079.0"/>
        <n v="1818.0"/>
        <n v="14991.0"/>
        <n v="13876.0"/>
        <n v="18230.0"/>
        <n v="24036.0"/>
        <n v="25444.0"/>
        <n v="4139.0"/>
        <n v="34381.0"/>
        <n v="21298.0"/>
        <n v="39566.0"/>
        <n v="6476.0"/>
        <n v="48929.0"/>
        <n v="32105.0"/>
        <n v="9589.0"/>
        <n v="21127.0"/>
        <n v="60110.0"/>
        <n v="21001.0"/>
        <n v="17700.0"/>
        <n v="17351.0"/>
        <n v="35930.0"/>
        <n v="17994.0"/>
        <n v="26550.0"/>
        <n v="11735.0"/>
        <n v="5163.0"/>
        <n v="16963.0"/>
        <n v="13219.0"/>
        <n v="15340.0"/>
        <n v="41259.0"/>
        <n v="35807.0"/>
        <n v="18644.0"/>
        <n v="27487.0"/>
        <n v="17594.0"/>
        <n v="8314.0"/>
        <n v="18102.0"/>
        <n v="10890.0"/>
        <n v="6203.0"/>
        <n v="4929.0"/>
        <n v="25440.0"/>
        <n v="12036.0"/>
        <n v="11398.0"/>
        <n v="8565.0"/>
        <n v="11752.0"/>
        <n v="4248.0"/>
        <n v="2064.0"/>
        <n v="4672.0"/>
        <n v="9842.0"/>
        <n v="12934.0"/>
        <n v="30591.0"/>
        <n v="17606.0"/>
        <n v="18408.0"/>
        <n v="13942.0"/>
        <n v="22352.0"/>
        <n v="8850.0"/>
        <n v="34557.0"/>
        <n v="13570.0"/>
        <n v="18054.0"/>
        <n v="6562.0"/>
        <n v="8933.0"/>
        <n v="20060.0"/>
        <n v="8631.0"/>
        <n v="28585.0"/>
        <n v="21993.0"/>
        <n v="6218.0"/>
        <n v="4932.0"/>
        <n v="5688.0"/>
        <n v="5380.0"/>
        <n v="24469.0"/>
        <n v="31381.0"/>
        <n v="141482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475" sheet="Ledger Report"/>
  </cacheSource>
  <cacheFields>
    <cacheField name="Date" numFmtId="167">
      <sharedItems containsSemiMixedTypes="0" containsDate="1" containsString="0">
        <d v="2025-04-01T00:00:00Z"/>
        <d v="2025-08-07T00:00:00Z"/>
        <d v="2026-03-18T00:00:00Z"/>
        <d v="2026-03-21T00:00:00Z"/>
        <d v="2026-03-25T00:00:00Z"/>
        <d v="2026-03-30T00:00:00Z"/>
        <d v="2025-04-07T00:00:00Z"/>
        <d v="2025-05-21T00:00:00Z"/>
        <d v="2025-05-25T00:00:00Z"/>
        <d v="2025-09-04T00:00:00Z"/>
        <d v="2025-09-05T00:00:00Z"/>
        <d v="2025-10-11T00:00:00Z"/>
        <d v="2025-10-14T00:00:00Z"/>
        <d v="2025-12-19T00:00:00Z"/>
        <d v="2026-01-06T00:00:00Z"/>
        <d v="2026-02-18T00:00:00Z"/>
        <d v="2026-02-21T00:00:00Z"/>
        <d v="2026-03-22T00:00:00Z"/>
        <d v="2026-01-03T00:00:00Z"/>
        <d v="2026-01-21T00:00:00Z"/>
        <d v="2026-01-27T00:00:00Z"/>
        <d v="2026-01-29T00:00:00Z"/>
        <d v="2026-01-31T00:00:00Z"/>
        <d v="2026-02-02T00:00:00Z"/>
        <d v="2026-02-03T00:00:00Z"/>
        <d v="2026-02-28T00:00:00Z"/>
        <d v="2026-03-23T00:00:00Z"/>
        <d v="2026-03-24T00:00:00Z"/>
        <d v="2026-03-26T00:00:00Z"/>
        <d v="2026-03-31T00:00:00Z"/>
        <d v="2025-04-14T00:00:00Z"/>
        <d v="2025-05-13T00:00:00Z"/>
        <d v="2025-05-15T00:00:00Z"/>
        <d v="2025-05-16T00:00:00Z"/>
        <d v="2025-05-23T00:00:00Z"/>
        <d v="2025-05-24T00:00:00Z"/>
        <d v="2025-05-30T00:00:00Z"/>
        <d v="2025-05-31T00:00:00Z"/>
        <d v="2025-06-03T00:00:00Z"/>
        <d v="2025-08-02T00:00:00Z"/>
        <d v="2025-09-08T00:00:00Z"/>
        <d v="2025-09-11T00:00:00Z"/>
        <d v="2025-09-22T00:00:00Z"/>
        <d v="2025-10-27T00:00:00Z"/>
        <d v="2025-11-01T00:00:00Z"/>
        <d v="2025-11-04T00:00:00Z"/>
        <d v="2025-11-08T00:00:00Z"/>
        <d v="2025-11-14T00:00:00Z"/>
        <d v="2025-11-22T00:00:00Z"/>
        <d v="2025-12-31T00:00:00Z"/>
        <d v="2026-02-11T00:00:00Z"/>
        <d v="2026-03-13T00:00:00Z"/>
        <d v="2026-03-16T00:00:00Z"/>
        <d v="2026-03-17T00:00:00Z"/>
        <d v="2026-03-20T00:00:00Z"/>
        <d v="2026-03-28T00:00:00Z"/>
        <d v="2026-03-12T00:00:00Z"/>
        <d v="2026-03-27T00:00:00Z"/>
        <d v="2026-04-07T00:00:00Z"/>
        <d v="2026-04-10T00:00:00Z"/>
        <d v="2026-04-09T00:00:00Z"/>
        <d v="2026-04-01T00:00:00Z"/>
        <d v="2026-04-02T00:00:00Z"/>
        <d v="2026-04-03T00:00:00Z"/>
        <d v="2026-04-04T00:00:00Z"/>
        <d v="2026-04-15T00:00:00Z"/>
        <d v="2026-02-19T00:00:00Z"/>
        <d v="2026-02-20T00:00:00Z"/>
        <d v="2026-02-23T00:00:00Z"/>
        <d v="2026-02-24T00:00:00Z"/>
        <d v="2026-02-25T00:00:00Z"/>
        <d v="2026-02-27T00:00:00Z"/>
        <d v="2026-03-02T00:00:00Z"/>
        <d v="2026-04-11T00:00:00Z"/>
        <d v="2025-04-15T00:00:00Z"/>
        <d v="2025-04-19T00:00:00Z"/>
        <d v="2025-04-23T00:00:00Z"/>
        <d v="2025-04-28T00:00:00Z"/>
        <d v="2025-05-07T00:00:00Z"/>
        <d v="2025-05-09T00:00:00Z"/>
        <d v="2025-05-10T00:00:00Z"/>
        <d v="2025-05-26T00:00:00Z"/>
        <d v="2025-06-24T00:00:00Z"/>
        <d v="2025-06-28T00:00:00Z"/>
        <d v="2025-07-04T00:00:00Z"/>
        <d v="2025-07-05T00:00:00Z"/>
        <d v="2025-07-06T00:00:00Z"/>
        <d v="2025-08-06T00:00:00Z"/>
        <d v="2025-10-13T00:00:00Z"/>
        <d v="2025-10-30T00:00:00Z"/>
        <d v="2025-11-12T00:00:00Z"/>
        <d v="2025-12-10T00:00:00Z"/>
        <d v="2025-12-17T00:00:00Z"/>
        <d v="2025-12-25T00:00:00Z"/>
        <d v="2026-02-09T00:00:00Z"/>
        <d v="2026-03-07T00:00:00Z"/>
        <d v="2025-05-03T00:00:00Z"/>
        <d v="2025-06-02T00:00:00Z"/>
        <d v="2025-06-10T00:00:00Z"/>
        <d v="2025-07-16T00:00:00Z"/>
        <d v="2025-08-22T00:00:00Z"/>
        <d v="2025-09-06T00:00:00Z"/>
        <d v="2025-09-24T00:00:00Z"/>
        <d v="2025-10-17T00:00:00Z"/>
        <d v="2025-11-19T00:00:00Z"/>
        <d v="2026-01-02T00:00:00Z"/>
        <d v="2025-05-27T00:00:00Z"/>
        <d v="2025-06-05T00:00:00Z"/>
        <d v="2025-06-12T00:00:00Z"/>
        <d v="2025-06-14T00:00:00Z"/>
        <d v="2025-06-18T00:00:00Z"/>
        <d v="2025-06-26T00:00:00Z"/>
        <d v="2025-07-07T00:00:00Z"/>
        <d v="2025-07-11T00:00:00Z"/>
        <d v="2025-07-18T00:00:00Z"/>
        <d v="2025-07-23T00:00:00Z"/>
        <d v="2025-07-26T00:00:00Z"/>
        <d v="2025-07-28T00:00:00Z"/>
        <d v="2025-08-08T00:00:00Z"/>
        <d v="2025-08-19T00:00:00Z"/>
        <d v="2025-08-26T00:00:00Z"/>
        <d v="2025-09-03T00:00:00Z"/>
        <d v="2025-09-12T00:00:00Z"/>
        <d v="2025-09-29T00:00:00Z"/>
        <d v="2025-10-04T00:00:00Z"/>
        <d v="2025-10-06T00:00:00Z"/>
        <d v="2025-10-16T00:00:00Z"/>
        <d v="2025-10-24T00:00:00Z"/>
        <d v="2025-11-07T00:00:00Z"/>
        <d v="2025-11-13T00:00:00Z"/>
        <d v="2025-12-04T00:00:00Z"/>
        <d v="2025-12-24T00:00:00Z"/>
        <d v="2026-01-22T00:00:00Z"/>
        <d v="2026-02-07T00:00:00Z"/>
        <d v="2026-03-14T00:00:00Z"/>
        <d v="2026-03-19T00:00:00Z"/>
        <d v="2026-03-03T00:00:00Z"/>
        <d v="2026-03-10T00:00:00Z"/>
        <d v="2025-04-04T00:00:00Z"/>
        <d v="2025-04-05T00:00:00Z"/>
        <d v="2025-04-21T00:00:00Z"/>
        <d v="2025-05-02T00:00:00Z"/>
        <d v="2025-05-12T00:00:00Z"/>
        <d v="2025-05-19T00:00:00Z"/>
        <d v="2025-05-20T00:00:00Z"/>
        <d v="2025-05-22T00:00:00Z"/>
        <d v="2025-06-11T00:00:00Z"/>
        <d v="2025-06-20T00:00:00Z"/>
        <d v="2025-07-12T00:00:00Z"/>
        <d v="2025-07-19T00:00:00Z"/>
        <d v="2025-07-21T00:00:00Z"/>
        <d v="2025-07-30T00:00:00Z"/>
        <d v="2025-08-05T00:00:00Z"/>
        <d v="2025-08-12T00:00:00Z"/>
        <d v="2025-08-29T00:00:00Z"/>
        <d v="2025-09-18T00:00:00Z"/>
        <d v="2025-09-25T00:00:00Z"/>
        <d v="2025-09-30T00:00:00Z"/>
        <d v="2025-10-07T00:00:00Z"/>
        <d v="2025-10-10T00:00:00Z"/>
        <d v="2025-10-20T00:00:00Z"/>
        <d v="2025-11-10T00:00:00Z"/>
        <d v="2025-11-20T00:00:00Z"/>
        <d v="2025-12-27T00:00:00Z"/>
        <d v="2025-12-30T00:00:00Z"/>
        <d v="2026-01-05T00:00:00Z"/>
        <d v="2026-01-26T00:00:00Z"/>
        <d v="2026-01-28T00:00:00Z"/>
        <d v="2026-01-30T00:00:00Z"/>
        <d v="2026-02-13T00:00:00Z"/>
        <d v="2026-03-06T00:00:00Z"/>
        <d v="2025-04-22T00:00:00Z"/>
        <d v="2025-04-09T00:00:00Z"/>
        <d v="2025-04-10T00:00:00Z"/>
        <d v="2025-04-26T00:00:00Z"/>
        <d v="2025-05-28T00:00:00Z"/>
        <d v="2025-06-04T00:00:00Z"/>
        <d v="2025-06-09T00:00:00Z"/>
        <d v="2025-06-13T00:00:00Z"/>
        <d v="2025-06-25T00:00:00Z"/>
        <d v="2025-06-27T00:00:00Z"/>
        <d v="2025-06-30T00:00:00Z"/>
        <d v="2025-07-02T00:00:00Z"/>
        <d v="2025-07-15T00:00:00Z"/>
        <d v="2025-07-24T00:00:00Z"/>
        <d v="2025-08-01T00:00:00Z"/>
        <d v="2025-08-11T00:00:00Z"/>
        <d v="2025-08-14T00:00:00Z"/>
        <d v="2025-08-21T00:00:00Z"/>
        <d v="2025-09-19T00:00:00Z"/>
        <d v="2025-09-26T00:00:00Z"/>
        <d v="2025-11-03T00:00:00Z"/>
        <d v="2025-11-17T00:00:00Z"/>
        <d v="2025-11-18T00:00:00Z"/>
        <d v="2025-11-21T00:00:00Z"/>
        <d v="2025-11-24T00:00:00Z"/>
        <d v="2025-11-25T00:00:00Z"/>
        <d v="2025-11-27T00:00:00Z"/>
        <d v="2025-11-28T00:00:00Z"/>
        <d v="2025-12-06T00:00:00Z"/>
        <d v="2025-12-12T00:00:00Z"/>
        <d v="2025-12-15T00:00:00Z"/>
        <d v="2025-12-26T00:00:00Z"/>
        <d v="2026-01-12T00:00:00Z"/>
        <d v="2026-01-13T00:00:00Z"/>
        <d v="2026-02-17T00:00:00Z"/>
        <d v="2026-02-26T00:00:00Z"/>
        <d v="2026-03-08T00:00:00Z"/>
        <d v="2026-03-11T00:00:00Z"/>
        <d v="2025-09-09T00:00:00Z"/>
        <d v="2025-09-23T00:00:00Z"/>
        <d v="2025-10-23T00:00:00Z"/>
        <d v="2025-10-31T00:00:00Z"/>
        <d v="2025-11-06T00:00:00Z"/>
        <d v="2025-12-13T00:00:00Z"/>
        <d v="2026-01-09T00:00:00Z"/>
        <d v="2026-01-10T00:00:00Z"/>
        <d v="2026-01-15T00:00:00Z"/>
        <d v="2026-04-06T00:00:00Z"/>
        <d v="2026-04-13T00:00:00Z"/>
        <d v="2026-04-14T00:00:00Z"/>
        <d v="2026-04-17T00:00:00Z"/>
        <d v="2026-04-16T00:00:00Z"/>
      </sharedItems>
    </cacheField>
    <cacheField name="Date Year" numFmtId="0">
      <sharedItems containsSemiMixedTypes="0" containsString="0" containsNumber="1" containsInteger="1">
        <n v="2025.0"/>
        <n v="2026.0"/>
      </sharedItems>
    </cacheField>
    <cacheField name="Party Name" numFmtId="0">
      <sharedItems>
        <s v="AGARWAL IRON INDUSTRIES"/>
        <s v="DERBY INDUSTRIES."/>
        <s v="FITWELL FASTNERS &amp; FITTING INDUSTRIES"/>
        <s v="GINTER FORGING P. LTD."/>
        <s v="K.V.ENTERPRISES"/>
        <s v="KOMAL INDUSTRIAL"/>
        <s v="LAKSHMI STEELS"/>
        <s v="LOYAL ENTERPRISES"/>
        <s v="M.J.H SPCIAL STEEL"/>
        <s v="MALHOTRA INDL. CORPN."/>
        <s v="N.P.FASTNERS"/>
        <s v="NAMDHARI INDUSTRIAL TRADERS PVT.LTD."/>
        <s v="PRECISION AUTO FASTNERS"/>
        <s v="PREMCO INDIA EXIM PVT. LTD."/>
        <s v="RADHA INDUSTRIES"/>
        <s v="RANJIT ENTERPRISES"/>
        <s v="SOND NUT &amp; BOLT."/>
        <s v="UDEHRA FASTNERS"/>
        <s v="KIC"/>
      </sharedItems>
    </cacheField>
    <cacheField name="Particulars" numFmtId="0">
      <sharedItems containsBlank="1">
        <s v="OPENING BALANCE"/>
        <s v="TO BILL NO. TI/00104"/>
        <s v="TO BILL NO. TI/00022"/>
        <s v="TO BILL NO. TI/00027"/>
        <s v="TO BILL NO. TI/00038"/>
        <s v="TO BILL NO. TI/00050"/>
        <s v="BY NEFT"/>
        <s v="TO BILL NO. TI/00039"/>
        <s v="BY Ch.No. TRF"/>
        <s v="TO BILL NO. TI/00133"/>
        <s v="BY TRF"/>
        <s v="BY R/D"/>
        <s v="TO BILL NO. TI/00159"/>
        <s v="TO BILL NO. TI/00213"/>
        <s v="TO BILL NO. TI/00257"/>
        <s v="TO BILL NO. TI/00290"/>
        <s v="TO BILL NO. TI/00242"/>
        <s v="TO BILL NO. TI/00244"/>
        <s v="TO BILL NO. TI/00232"/>
        <s v="TO BILL NO. TI/00238"/>
        <s v="TO BILL NO. TI/00241"/>
        <s v="TO BILL NO. TI/00247"/>
        <s v="TO BILL NO. TI/00249"/>
        <s v="TO BILL NO. TI/00250"/>
        <s v="TO BILL NO. TI/00251"/>
        <s v="TO BILL NO. TI/00001"/>
        <s v="TO BILL NO. TI/00289"/>
        <s v="TO BILL NO. TI/00291"/>
        <s v="TO BILL NO. TI/00033"/>
        <s v="TO BILL NO. TI/00292"/>
        <s v="TO BILL NO. TI/00041"/>
        <s v="TO BILL NO. TI/00053"/>
        <s v="BY RTGS"/>
        <s v="TO BILL NO. TI/00028"/>
        <s v="TO BILL NO. TI/00032"/>
        <s v="TO BILL NO. TI/00042"/>
        <s v="TO BILL NO. TI/00047"/>
        <s v="TO BILL NO. TI/00048"/>
        <s v="TO BILL NO. TI/00052"/>
        <s v="TO BILL NO. TI/00099"/>
        <s v="TO BILL NO. TI/00130"/>
        <s v="TO BILL NO. TI/00136"/>
        <s v="TO BILL NO. TI/00140"/>
        <s v="TO BILL NO. TI/00168"/>
        <s v="TO BILL NO. TI/00171"/>
        <s v="TO BILL NO. TI/00174"/>
        <s v="TO BILL NO. TI/00178"/>
        <s v="TO BILL NO. TI/00183"/>
        <s v="TO BILL NO. TI/00190"/>
        <s v="TO BILL NO. TI/00236"/>
        <s v="TO BILL NO. TI/00013"/>
        <s v="TO BILL NO. TI/00017"/>
        <s v="TO BILL NO. TI/00020"/>
        <s v="TO BILL NO. TI/00024"/>
        <s v="TO BILL NO. TI/00026"/>
        <s v="TO BILL NO. TI/00036"/>
        <s v="TO BILL NO. TI/00037"/>
        <s v="TO BILL NO. TI/00044"/>
        <s v="TO BILL NO. TI/00058"/>
        <s v="TO BILL NO. TI/00010"/>
        <s v="TO BILL NO. TI/00014"/>
        <s v="TO BILL NO. TI/00029"/>
        <s v="TO BILL NO. TI/00030"/>
        <s v="TO BILL NO. TI/00031"/>
        <s v="BY KOMAL"/>
        <s v="TO BILL NO. TI/00034"/>
        <s v="TO BILL NO. TI/00035"/>
        <s v="TO BILL NO. TI/00040"/>
        <s v="BILL NO. 14"/>
        <s v="BILL NO. 22"/>
        <s v="CREDIT"/>
        <s v="TO BILL NO. TI/00283"/>
        <s v="TO BILL NO. TI/00286"/>
        <s v="TO BILL NO. TI/00288"/>
        <s v="TO BILL NO. TI/00293"/>
        <s v="TO BILL NO. TI/00294"/>
        <s v="TO BILL NO. TI/00295"/>
        <s v="TO BILL NO. TI/00296"/>
        <s v="BILL NO. 1"/>
        <s v="BILL NO. 3"/>
        <s v="BILL NO. 5"/>
        <s v="BILL NO. 6"/>
        <s v="BILL NO. 8"/>
        <s v="BY LAKSHMI"/>
        <s v="TO BILL NO. TI/00260"/>
        <s v="TO BILL NO. TI/00261"/>
        <s v="TO BILL NO. TI/00262"/>
        <s v="TO BILL NO. TI/00263"/>
        <s v="TO BILL NO. TI/00266"/>
        <s v="TO BILL NO. TI/00268"/>
        <s v="TO BILL NO. TI/00272"/>
        <s v="TO BILL NO. TI/00003"/>
        <s v="TO BILL NO. TI/00012"/>
        <s v="TO BILL NO. TI/00015"/>
        <s v="TO BILL NO. TI/00018"/>
        <s v="TO BILL NO. TI/00023"/>
        <s v="TO BILL NO. TI/00067"/>
        <s v="TO BILL NO. TI/00075"/>
        <s v="TO BILL NO. TI/00102"/>
        <s v="TO BILL NO. TI/00160"/>
        <s v="TO BILL NO. TI/00169"/>
        <s v="TO BILL NO. TI/00204"/>
        <s v="TO BILL NO. TI/00216"/>
        <s v="TO BILL NO. TI/00252"/>
        <s v="TO BILL NO. TI/00265"/>
        <s v="TO BILL NO. TI/00278"/>
        <s v="TO BILL NO. TI/00011"/>
        <s v="TO BILL NO. TI/00043"/>
        <s v="TO BILL NO. TI/00051"/>
        <s v="TO BILL NO. TI/00057"/>
        <s v="TO BILL NO. TI/00077"/>
        <s v="TO BILL NO. TI/00113"/>
        <s v="TO BILL NO. TI/00135"/>
        <s v="TO BILL NO. TI/00146"/>
        <s v="TO BILL NO. TI/00186"/>
        <s v="TO BILL NO. TI/00211"/>
        <s v="TO BILL NO. TI/00256"/>
        <s v="TO BILL NO. TI/00007"/>
        <s v="TO BILL NO. TI/00054"/>
        <s v="TO BILL NO. TI/00055"/>
        <s v="TO BILL NO. TI/00005"/>
        <s v="TO BILL NO. TI/00025"/>
        <s v="TO BILL NO. TI/00045"/>
        <s v="TO BILL NO. TI/00061"/>
        <s v="TO BILL NO. TI/00064"/>
        <s v="TO BILL NO. TI/00065"/>
        <s v="TO BILL NO. TI/00069"/>
        <s v="TO BILL NO. TI/00072"/>
        <s v="TO BILL NO. TI/00076"/>
        <s v="TO BILL NO. TI/00082"/>
        <s v="TO BILL NO. TI/00088"/>
        <s v="TO BILL NO. TI/00093"/>
        <s v="TO BILL NO. TI/00095"/>
        <s v="TO BILL NO. TI/00096"/>
        <s v="TO BILL NO. TI/00105"/>
        <s v="TO BILL NO. TI/00110"/>
        <s v="TO BILL NO. TI/00114"/>
        <s v="TO BILL NO. TI/00117"/>
        <s v="TO BILL NO. TI/00129"/>
        <s v="TO BILL NO. TI/00141"/>
        <s v="TO BILL NO. TI/00149"/>
        <s v="TO BILL NO. TI/00154"/>
        <s v="TO BILL NO. TI/00155"/>
        <s v="TO BILL NO. TI/00162"/>
        <s v="TO BILL NO. TI/00167"/>
        <s v="TO BILL NO. TI/00176"/>
        <s v="TO BILL NO. TI/00201"/>
        <s v="TO BILL NO. TI/00209"/>
        <s v="TO BILL NO. TI/00214"/>
        <s v="TO BILL NO. TI/00234"/>
        <s v="TO BILL NO. TI/00285"/>
        <s v="TO BILL NO. TI/00016"/>
        <s v="TO BILL NO. TI/00021"/>
        <s v="TO BILL NO. TI/00049"/>
        <s v="TO BILL NO. TI/00267"/>
        <s v="TO BILL NO. TI/00271"/>
        <s v="TO BILL NO. TI/00002"/>
        <s v="TO BILL NO. TI/00009"/>
        <s v="TO BILL NO. TI/00019"/>
        <s v="TO BILL NO. TI/00056"/>
        <s v="TO BILL NO. TI/00059"/>
        <s v="TO BILL NO. TI/00066"/>
        <s v="TO BILL NO. TI/00079"/>
        <s v="TO BILL NO. TI/00080"/>
        <s v="TO BILL NO. TI/00083"/>
        <s v="TO BILL NO. TI/00087"/>
        <s v="TO BILL NO. TI/00090"/>
        <s v="TO BILL NO. TI/00091"/>
        <s v="TO BILL NO. TI/00092"/>
        <s v="TO BILL NO. TI/00097"/>
        <s v="TO BILL NO. TI/00100"/>
        <s v="TO BILL NO. TI/00107"/>
        <s v="TO BILL NO. TI/00124"/>
        <s v="TO BILL NO. TI/00143"/>
        <s v="TO BILL NO. TI/00151"/>
        <s v="TO BILL NO. TI/00156"/>
        <s v="TO BILL NO. TI/00165"/>
        <s v="TO BILL NO. TI/00180"/>
        <s v="TO BILL NO. TI/00191"/>
        <s v="TO BILL NO. TI/00200"/>
        <s v="TO BILL NO. TI/00208"/>
        <s v="TO BILL NO. TI/00220"/>
        <s v="TO BILL NO. TI/00225"/>
        <s v="TO BILL NO. TI/00226"/>
        <s v="TO BILL NO. TI/00235"/>
        <s v="TO BILL NO. TI/00246"/>
        <s v="TO BILL NO. TI/00259"/>
        <s v="TO BILL NO. TI/00273"/>
        <s v="TO BILL NO. TI/00004"/>
        <s v="TO BILL NO. TI/00275"/>
        <s v="TO BILL NO. TI/00006"/>
        <s v="TO BILL NO. TI/00277"/>
        <s v="TO BILL NO. TI/00279"/>
        <s v="TO BILL NO. TI/00282"/>
        <s v="TO BILL NO. TI/00287"/>
        <s v="TO BILL NO. TI/00060"/>
        <s v="TO BILL NO. TI/00046"/>
        <s v="TO BILL NO. TI/00298"/>
        <s v="BY Ch.No. 035548"/>
        <s v="TO BILL NO. TI/00062"/>
        <s v="TO BILL NO. TI/00063"/>
        <s v="TO BILL NO. TI/00070"/>
        <s v="TO BILL NO. TI/00071"/>
        <s v="TO BILL NO. TI/00073"/>
        <s v="TO BILL NO. TI/00074"/>
        <s v="TO BILL NO. TI/00078"/>
        <s v="TO BILL NO. TI/00084"/>
        <s v="TO BILL NO. TI/00086"/>
        <s v="TO BILL NO. TI/00094"/>
        <s v="TO BILL NO. TI/00098"/>
        <s v="TO BILL NO. TI/00101"/>
        <s v="TO BILL NO. TI/00106"/>
        <s v="TO BILL NO. TI/00108"/>
        <s v="TO BILL NO. TI/00109"/>
        <s v="TO BILL NO. TI/00111"/>
        <s v="TO BILL NO. TI/00112"/>
        <s v="TO BILL NO. TI/00116"/>
        <s v="TO BILL NO. TI/00119"/>
        <s v="TO BILL NO. TI/00125"/>
        <s v="TO BILL NO. TI/00126"/>
        <s v="TO BILL NO. TI/00127"/>
        <s v="TO BILL NO. TI/00134"/>
        <s v="TO BILL NO. TI/00139"/>
        <s v="TO BILL NO. TI/00142"/>
        <s v="TO BILL NO. TI/00144"/>
        <s v="TO BILL NO. TI/00147"/>
        <s v="TO BILL NO. TI/00150"/>
        <s v="TO BILL NO. TI/00152"/>
        <s v="TO BILL NO. TI/00158"/>
        <s v="TO BILL NO. TI/00163"/>
        <s v="TO BILL NO. TI/00164"/>
        <s v="TO BILL NO. TI/00172"/>
        <s v="TO BILL NO. TI/00173"/>
        <s v="TO BILL NO. TI/00179"/>
        <s v="TO BILL NO. TI/00181"/>
        <s v="TO BILL NO. TI/00182"/>
        <s v="TO BILL NO. TI/00184"/>
        <s v="TO BILL NO. TI/00185"/>
        <s v="TO BILL NO. TI/00187"/>
        <s v="TO BILL NO. TI/00189"/>
        <s v="TO BILL NO. TI/00192"/>
        <s v="TO BILL NO. TI/00193"/>
        <s v="TO BILL NO. TI/00194"/>
        <s v="TO BILL NO. TI/00195"/>
        <s v="TO BILL NO. TI/00197"/>
        <s v="TO BILL NO. TI/00198"/>
        <s v="TO BILL NO. TI/00199"/>
        <s v="TO BILL NO. TI/00202"/>
        <s v="TO BILL NO. TI/00205"/>
        <s v="TO BILL NO. TI/00207"/>
        <s v="TO BILL NO. TI/00212"/>
        <s v="TO BILL NO. TI/00215"/>
        <s v="TO BILL NO. TI/00217"/>
        <s v="TO BILL NO. TI/00218"/>
        <s v="TO BILL NO. TI/00223"/>
        <s v="TO BILL NO. TI/00227"/>
        <s v="TO BILL NO. TI/00230"/>
        <s v="TO BILL NO. TI/00231"/>
        <s v="TO BILL NO. TI/00233"/>
        <s v="TO BILL NO. TI/00239"/>
        <s v="TO BILL NO. TI/00240"/>
        <s v="TO BILL NO. TI/00245"/>
        <s v="TO BILL NO. TI/00248"/>
        <s v="TO BILL NO. TI/00254"/>
        <s v="TO BILL NO. TI/00258"/>
        <s v="TO BILL NO. TI/00264"/>
        <s v="TO BILL NO. TI/00269"/>
        <s v="TO BILL NO. TI/00270"/>
        <s v="TO BILL NO. TI/00274"/>
        <s v="TO BILL NO. TI/00276"/>
        <s v="TO BILL NO. TI/00280"/>
        <s v="TO BILL NO. TI/00281"/>
        <s v="TO BILL NO. TI/00284"/>
        <s v="TO BILL NO. TI/00068"/>
        <s v="TO BILL NO. TI/00089"/>
        <s v="TO BILL NO. TI/00103"/>
        <s v="TO BILL NO. TI/00131"/>
        <s v="TO BILL NO. TI/00132"/>
        <s v="TO BILL NO. TI/00137"/>
        <s v="TO BILL NO. TI/00138"/>
        <s v="TO BILL NO. TI/00145"/>
        <s v="TO BILL NO. TI/00148"/>
        <s v="TO BILL NO. TI/00166"/>
        <s v="TO BILL NO. TI/00170"/>
        <s v="TO BILL NO. TI/00175"/>
        <s v="TO BILL NO. TI/00188"/>
        <s v="TO BILL NO. TI/00196"/>
        <s v="TO BILL NO. TI/00203"/>
        <s v="TO BILL NO. TI/00206"/>
        <s v="TO BILL NO. TI/00210"/>
        <s v="TO TRF"/>
        <s v="TO RETURN"/>
        <s v="TO BILL NO. TI/00224"/>
        <s v="TO BILL NO. TI/00228"/>
        <s v="TO BILL NO. TI/00229"/>
        <s v="TO BILL NO. TI/00237"/>
        <s v="TO BILL NO. TI/00008"/>
        <m/>
      </sharedItems>
    </cacheField>
    <cacheField name="Credit" numFmtId="0">
      <sharedItems containsString="0" containsBlank="1" containsNumber="1" containsInteger="1">
        <n v="0.0"/>
        <n v="19471.0"/>
        <n v="15000.0"/>
        <n v="10000.0"/>
        <n v="44293.0"/>
        <n v="10.0"/>
        <n v="23092.0"/>
        <n v="26063.0"/>
        <n v="18000.0"/>
        <n v="102548.0"/>
        <n v="272746.0"/>
        <n v="312278.0"/>
        <n v="75536.0"/>
        <n v="94896.0"/>
        <n v="50000.0"/>
        <n v="19356.0"/>
        <n v="53874.0"/>
        <n v="100000.0"/>
        <n v="6221.0"/>
        <n v="13496.0"/>
        <n v="3786.0"/>
        <n v="7076.0"/>
        <n v="5230.0"/>
        <n v="6362.0"/>
        <n v="5612.0"/>
        <n v="5746.0"/>
        <n v="7382.0"/>
        <n v="6742.0"/>
        <n v="15624.0"/>
        <n v="7044.0"/>
        <n v="4554.0"/>
        <n v="14798.0"/>
        <n v="6938.0"/>
        <n v="10852.0"/>
        <n v="59517.0"/>
        <n v="36714.0"/>
        <n v="21033.0"/>
        <n v="31368.0"/>
        <n v="15541.0"/>
        <n v="31503.0"/>
        <n v="31924.0"/>
        <n v="15208.0"/>
        <n v="14558.0"/>
        <n v="5644.0"/>
        <n v="17971.0"/>
        <n v="600.0"/>
        <n v="882.0"/>
        <n v="15149.0"/>
        <n v="15968.0"/>
        <n v="24106.0"/>
        <n v="26966.0"/>
        <n v="28861.0"/>
        <n v="13314.0"/>
        <n v="17527.0"/>
        <n v="25795.0"/>
        <n v="13127.0"/>
        <n v="18309.0"/>
        <n v="13305.0"/>
        <n v="11586.0"/>
        <n v="10264.0"/>
        <n v="9314.0"/>
        <n v="27504.0"/>
        <n v="20000.0"/>
        <n v="17398.0"/>
        <n v="16675.0"/>
        <n v="18145.0"/>
        <n v="21494.0"/>
        <n v="13085.0"/>
        <n v="29194.0"/>
        <n v="38389.0"/>
        <n v="76850.0"/>
        <n v="40000.0"/>
        <n v="19000.0"/>
        <n v="26293.0"/>
        <n v="90000.0"/>
        <n v="60000.0"/>
        <n v="70000.0"/>
        <n v="150000.0"/>
        <n v="35080.0"/>
        <m/>
      </sharedItems>
    </cacheField>
    <cacheField name="Debit" numFmtId="0">
      <sharedItems containsString="0" containsBlank="1" containsNumber="1" containsInteger="1">
        <n v="5024.0"/>
        <n v="1008.0"/>
        <n v="18230.0"/>
        <n v="21298.0"/>
        <n v="17351.0"/>
        <n v="13219.0"/>
        <n v="39788.0"/>
        <n v="0.0"/>
        <n v="15662.0"/>
        <n v="33324.0"/>
        <n v="23092.0"/>
        <n v="26063.0"/>
        <n v="18788.0"/>
        <n v="24999.0"/>
        <n v="10134.0"/>
        <n v="11097.0"/>
        <n v="24161.0"/>
        <n v="4130.0"/>
        <n v="346.0"/>
        <n v="8449.0"/>
        <n v="22463.0"/>
        <n v="11109.0"/>
        <n v="6950.0"/>
        <n v="3716.0"/>
        <n v="10620.0"/>
        <n v="6904.0"/>
        <n v="9589.0"/>
        <n v="17374.0"/>
        <n v="26550.0"/>
        <n v="17594.0"/>
        <n v="559119.0"/>
        <n v="19040.0"/>
        <n v="17714.0"/>
        <n v="22400.0"/>
        <n v="24640.0"/>
        <n v="16522.0"/>
        <n v="20160.0"/>
        <n v="18964.0"/>
        <n v="7862.0"/>
        <n v="11928.0"/>
        <n v="14586.0"/>
        <n v="20302.0"/>
        <n v="19446.0"/>
        <n v="24072.0"/>
        <n v="22488.0"/>
        <n v="11586.0"/>
        <n v="4312.0"/>
        <n v="1862.0"/>
        <n v="13028.0"/>
        <n v="22567.0"/>
        <n v="14991.0"/>
        <n v="25444.0"/>
        <n v="34381.0"/>
        <n v="21001.0"/>
        <n v="17700.0"/>
        <n v="16963.0"/>
        <n v="27487.0"/>
        <n v="6203.0"/>
        <n v="6774.0"/>
        <n v="6088.0"/>
        <n v="6476.0"/>
        <n v="39566.0"/>
        <n v="48929.0"/>
        <n v="21127.0"/>
        <n v="60110.0"/>
        <n v="17994.0"/>
        <n v="15340.0"/>
        <n v="17606.0"/>
        <n v="34557.0"/>
        <m/>
        <n v="9192.0"/>
        <n v="10763.0"/>
        <n v="15000.0"/>
        <n v="13216.0"/>
        <n v="8496.0"/>
        <n v="8180.0"/>
        <n v="8978.0"/>
        <n v="11328.0"/>
        <n v="9440.0"/>
        <n v="4720.0"/>
        <n v="14160.0"/>
        <n v="26489.0"/>
        <n v="11853.0"/>
        <n v="23897.0"/>
        <n v="15710.0"/>
        <n v="23888.0"/>
        <n v="28100.0"/>
        <n v="23615.0"/>
        <n v="32471.0"/>
        <n v="6221.0"/>
        <n v="10404.0"/>
        <n v="3092.0"/>
        <n v="3786.0"/>
        <n v="7076.0"/>
        <n v="5230.0"/>
        <n v="6362.0"/>
        <n v="5612.0"/>
        <n v="5746.0"/>
        <n v="17382.0"/>
        <n v="6742.0"/>
        <n v="15624.0"/>
        <n v="4554.0"/>
        <n v="7044.0"/>
        <n v="14798.0"/>
        <n v="6938.0"/>
        <n v="4318.0"/>
        <n v="10890.0"/>
        <n v="8580.0"/>
        <n v="6518.0"/>
        <n v="6148.0"/>
        <n v="4424.0"/>
        <n v="9576.0"/>
        <n v="10864.0"/>
        <n v="13406.0"/>
        <n v="17248.0"/>
        <n v="15658.0"/>
        <n v="3808.0"/>
        <n v="11700.0"/>
        <n v="9334.0"/>
        <n v="7622.0"/>
        <n v="17069.0"/>
        <n v="16472.0"/>
        <n v="8314.0"/>
        <n v="18102.0"/>
        <n v="16928.0"/>
        <n v="13440.0"/>
        <n v="2941.0"/>
        <n v="5040.0"/>
        <n v="4200.0"/>
        <n v="6301.0"/>
        <n v="3781.0"/>
        <n v="3360.0"/>
        <n v="8821.0"/>
        <n v="2520.0"/>
        <n v="4621.0"/>
        <n v="7981.0"/>
        <n v="4867.0"/>
        <n v="7080.0"/>
        <n v="4426.0"/>
        <n v="3540.0"/>
        <n v="3097.0"/>
        <n v="2213.0"/>
        <n v="2656.0"/>
        <n v="11947.0"/>
        <n v="3983.0"/>
        <n v="5079.0"/>
        <n v="13876.0"/>
        <n v="24036.0"/>
        <n v="35930.0"/>
        <n v="35807.0"/>
        <n v="41259.0"/>
        <n v="5507.0"/>
        <n v="10242.0"/>
        <n v="2601.0"/>
        <n v="4922.0"/>
        <n v="8383.0"/>
        <n v="3163.0"/>
        <n v="3186.0"/>
        <n v="1818.0"/>
        <n v="4139.0"/>
        <n v="32105.0"/>
        <n v="11735.0"/>
        <n v="5163.0"/>
        <n v="4929.0"/>
        <n v="201339.0"/>
        <n v="4300.0"/>
        <n v="4480.0"/>
        <n v="4534.0"/>
        <n v="4928.0"/>
        <n v="2240.0"/>
        <n v="4032.0"/>
        <n v="798.0"/>
        <n v="9570.0"/>
        <n v="12992.0"/>
        <n v="5376.0"/>
        <n v="8960.0"/>
        <n v="9408.0"/>
        <n v="7884.0"/>
        <n v="5824.0"/>
        <n v="8024.0"/>
        <n v="1416.0"/>
        <n v="10856.0"/>
        <n v="944.0"/>
        <n v="2832.0"/>
        <n v="12272.0"/>
        <n v="6608.0"/>
        <n v="31916.0"/>
        <n v="11800.0"/>
        <n v="3197.0"/>
        <n v="3682.0"/>
        <n v="3776.0"/>
        <n v="9638.0"/>
        <n v="22136.0"/>
        <n v="29194.0"/>
        <n v="38389.0"/>
        <n v="18644.0"/>
        <n v="8438.0"/>
        <n v="76891.0"/>
        <n v="10360.0"/>
        <n v="4703.0"/>
        <n v="10879.0"/>
        <n v="7959.0"/>
        <n v="6659.0"/>
        <n v="8309.0"/>
        <n v="5708.0"/>
        <n v="10335.0"/>
        <n v="5181.0"/>
        <n v="10112.0"/>
        <n v="10651.0"/>
        <n v="4335.0"/>
        <n v="10401.0"/>
        <n v="6496.0"/>
        <n v="10183.0"/>
        <n v="11350.0"/>
        <n v="10670.0"/>
        <n v="9131.0"/>
        <n v="7769.0"/>
        <n v="9433.0"/>
        <n v="10433.0"/>
        <n v="7253.0"/>
        <n v="3109.0"/>
        <n v="6250.0"/>
        <n v="7098.0"/>
        <n v="9870.0"/>
        <n v="6216.0"/>
        <n v="6735.0"/>
        <n v="6046.0"/>
        <n v="9302.0"/>
        <n v="5892.0"/>
        <n v="4144.0"/>
        <n v="10915.0"/>
        <n v="5182.0"/>
        <n v="8598.0"/>
        <n v="11231.0"/>
        <n v="8748.0"/>
        <n v="10369.0"/>
        <n v="8732.0"/>
        <n v="2084.0"/>
        <n v="4802.0"/>
        <n v="9439.0"/>
        <n v="9648.0"/>
        <n v="10916.0"/>
        <n v="10526.0"/>
        <n v="7019.0"/>
        <n v="11463.0"/>
        <n v="9002.0"/>
        <n v="11340.0"/>
        <n v="9139.0"/>
        <n v="11167.0"/>
        <n v="10850.0"/>
        <n v="9933.0"/>
        <n v="8444.0"/>
        <n v="12050.0"/>
        <n v="8700.0"/>
        <n v="21283.0"/>
        <n v="7641.0"/>
        <n v="14273.0"/>
        <n v="7498.0"/>
        <n v="9753.0"/>
        <n v="5457.0"/>
        <n v="5883.0"/>
        <n v="31795.0"/>
        <n v="9514.0"/>
        <n v="11416.0"/>
        <n v="13233.0"/>
        <n v="7594.0"/>
        <n v="6402.0"/>
        <n v="10931.0"/>
        <n v="10627.0"/>
        <n v="10846.0"/>
        <n v="12192.0"/>
        <n v="10697.0"/>
        <n v="33008.0"/>
        <n v="6922.0"/>
        <n v="3752.0"/>
        <n v="5600.0"/>
        <n v="25200.0"/>
        <n v="8680.0"/>
        <n v="6018.0"/>
        <n v="24780.0"/>
        <n v="18998.0"/>
        <n v="14810.0"/>
        <n v="16756.0"/>
        <n v="13688.0"/>
        <n v="21240.0"/>
        <n v="50000.0"/>
        <n v="21878.0"/>
        <n v="12096.0"/>
        <n v="23954.0"/>
        <n v="22384.0"/>
        <n v="22302.0"/>
        <n v="30591.0"/>
        <n v="20060.0"/>
        <n v="8565.0"/>
        <n v="4248.0"/>
        <n v="2064.0"/>
        <n v="12934.0"/>
        <n v="13942.0"/>
        <n v="22352.0"/>
        <n v="6562.0"/>
        <n v="8933.0"/>
        <n v="8631.0"/>
        <n v="21993.0"/>
        <n v="12036.0"/>
        <n v="11398.0"/>
        <n v="9842.0"/>
        <n v="18408.0"/>
        <n v="18054.0"/>
        <n v="28585.0"/>
        <n v="24469.0"/>
        <n v="31381.0"/>
        <n v="8850.0"/>
        <n v="5688.0"/>
        <n v="6218.0"/>
        <n v="5380.0"/>
        <n v="4932.0"/>
        <n v="25440.0"/>
        <n v="11752.0"/>
        <n v="13570.0"/>
        <n v="4672.0"/>
      </sharedItems>
    </cacheField>
    <cacheField name="Balance" numFmtId="0">
      <sharedItems containsString="0" containsBlank="1" containsNumber="1" containsInteger="1">
        <n v="5024.0"/>
        <n v="6032.0"/>
        <n v="24262.0"/>
        <n v="45560.0"/>
        <n v="62911.0"/>
        <n v="76130.0"/>
        <n v="39788.0"/>
        <n v="20317.0"/>
        <n v="35979.0"/>
        <n v="20979.0"/>
        <n v="10979.0"/>
        <n v="44303.0"/>
        <n v="10.0"/>
        <n v="0.0"/>
        <n v="23092.0"/>
        <n v="26063.0"/>
        <n v="18788.0"/>
        <n v="788.0"/>
        <n v="25787.0"/>
        <n v="10134.0"/>
        <n v="21231.0"/>
        <n v="45392.0"/>
        <n v="49522.0"/>
        <n v="49868.0"/>
        <n v="58317.0"/>
        <n v="80780.0"/>
        <n v="91889.0"/>
        <n v="98839.0"/>
        <n v="102555.0"/>
        <n v="113175.0"/>
        <n v="120079.0"/>
        <n v="129668.0"/>
        <n v="147042.0"/>
        <n v="173592.0"/>
        <n v="71044.0"/>
        <n v="88638.0"/>
        <n v="559119.0"/>
        <n v="286373.0"/>
        <n v="305413.0"/>
        <n v="323127.0"/>
        <n v="345527.0"/>
        <n v="370167.0"/>
        <n v="392567.0"/>
        <n v="409089.0"/>
        <n v="429249.0"/>
        <n v="448213.0"/>
        <n v="456075.0"/>
        <n v="478475.0"/>
        <n v="490403.0"/>
        <n v="504989.0"/>
        <n v="525291.0"/>
        <n v="213013.0"/>
        <n v="232459.0"/>
        <n v="256531.0"/>
        <n v="279019.0"/>
        <n v="290605.0"/>
        <n v="294917.0"/>
        <n v="296779.0"/>
        <n v="221243.0"/>
        <n v="234271.0"/>
        <n v="139375.0"/>
        <n v="161942.0"/>
        <n v="184509.0"/>
        <n v="199500.0"/>
        <n v="224944.0"/>
        <n v="259325.0"/>
        <n v="280326.0"/>
        <n v="298026.0"/>
        <n v="314989.0"/>
        <n v="342476.0"/>
        <n v="348679.0"/>
        <n v="6774.0"/>
        <n v="12862.0"/>
        <n v="19338.0"/>
        <n v="39566.0"/>
        <n v="88495.0"/>
        <n v="38495.0"/>
        <n v="59622.0"/>
        <n v="119732.0"/>
        <n v="137726.0"/>
        <n v="87726.0"/>
        <n v="103066.0"/>
        <n v="120672.0"/>
        <n v="155229.0"/>
        <n v="105229.0"/>
        <n v="55229.0"/>
        <n v="9192.0"/>
        <n v="19955.0"/>
        <n v="34955.0"/>
        <n v="15599.0"/>
        <n v="28815.0"/>
        <n v="37311.0"/>
        <n v="45491.0"/>
        <n v="54469.0"/>
        <n v="65797.0"/>
        <n v="75237.0"/>
        <n v="79957.0"/>
        <n v="84677.0"/>
        <n v="98837.0"/>
        <n v="44963.0"/>
        <n v="26489.0"/>
        <n v="38342.0"/>
        <n v="62239.0"/>
        <n v="77949.0"/>
        <n v="101837.0"/>
        <n v="129937.0"/>
        <n v="153552.0"/>
        <n v="186023.0"/>
        <n v="86023.0"/>
        <n v="6221.0"/>
        <n v="10404.0"/>
        <n v="-3092.0"/>
        <n v="3786.0"/>
        <n v="10862.0"/>
        <n v="16092.0"/>
        <n v="12306.0"/>
        <n v="5230.0"/>
        <n v="11592.0"/>
        <n v="6362.0"/>
        <n v="5612.0"/>
        <n v="11358.0"/>
        <n v="5746.0"/>
        <n v="17382.0"/>
        <n v="7382.0"/>
        <n v="6742.0"/>
        <n v="15624.0"/>
        <n v="20178.0"/>
        <n v="4554.0"/>
        <n v="11598.0"/>
        <n v="14798.0"/>
        <n v="6938.0"/>
        <n v="4318.0"/>
        <n v="15208.0"/>
        <n v="4356.0"/>
        <n v="8580.0"/>
        <n v="15098.0"/>
        <n v="21246.0"/>
        <n v="25670.0"/>
        <n v="35246.0"/>
        <n v="46110.0"/>
        <n v="59516.0"/>
        <n v="76764.0"/>
        <n v="17247.0"/>
        <n v="32905.0"/>
        <n v="36713.0"/>
        <n v="48413.0"/>
        <n v="11699.0"/>
        <n v="21033.0"/>
        <n v="28655.0"/>
        <n v="7622.0"/>
        <n v="24691.0"/>
        <n v="41163.0"/>
        <n v="49477.0"/>
        <n v="67579.0"/>
        <n v="16928.0"/>
        <n v="30368.0"/>
        <n v="33309.0"/>
        <n v="38349.0"/>
        <n v="6981.0"/>
        <n v="11181.0"/>
        <n v="17482.0"/>
        <n v="22522.0"/>
        <n v="26303.0"/>
        <n v="29663.0"/>
        <n v="32604.0"/>
        <n v="36804.0"/>
        <n v="45625.0"/>
        <n v="30084.0"/>
        <n v="33444.0"/>
        <n v="35964.0"/>
        <n v="39324.0"/>
        <n v="43105.0"/>
        <n v="47726.0"/>
        <n v="16223.0"/>
        <n v="19583.0"/>
        <n v="27564.0"/>
        <n v="30924.0"/>
        <n v="33865.0"/>
        <n v="38065.0"/>
        <n v="6141.0"/>
        <n v="10341.0"/>
        <n v="18989.0"/>
        <n v="26069.0"/>
        <n v="30495.0"/>
        <n v="15287.0"/>
        <n v="18827.0"/>
        <n v="21924.0"/>
        <n v="7366.0"/>
        <n v="9579.0"/>
        <n v="3935.0"/>
        <n v="6591.0"/>
        <n v="10131.0"/>
        <n v="22078.0"/>
        <n v="4107.0"/>
        <n v="8090.0"/>
        <n v="5079.0"/>
        <n v="18955.0"/>
        <n v="42991.0"/>
        <n v="78921.0"/>
        <n v="114728.0"/>
        <n v="155987.0"/>
        <n v="5507.0"/>
        <n v="4907.0"/>
        <n v="15149.0"/>
        <n v="17750.0"/>
        <n v="16868.0"/>
        <n v="21790.0"/>
        <n v="30173.0"/>
        <n v="33336.0"/>
        <n v="36522.0"/>
        <n v="38340.0"/>
        <n v="42479.0"/>
        <n v="74584.0"/>
        <n v="86319.0"/>
        <n v="91482.0"/>
        <n v="76333.0"/>
        <n v="87223.0"/>
        <n v="92152.0"/>
        <n v="201339.0"/>
        <n v="205639.0"/>
        <n v="189671.0"/>
        <n v="165565.0"/>
        <n v="170045.0"/>
        <n v="174525.0"/>
        <n v="179059.0"/>
        <n v="152093.0"/>
        <n v="123232.0"/>
        <n v="128160.0"/>
        <n v="130400.0"/>
        <n v="134880.0"/>
        <n v="121566.0"/>
        <n v="126494.0"/>
        <n v="130526.0"/>
        <n v="112999.0"/>
        <n v="113797.0"/>
        <n v="88002.0"/>
        <n v="97572.0"/>
        <n v="110564.0"/>
        <n v="115940.0"/>
        <n v="124900.0"/>
        <n v="133860.0"/>
        <n v="143268.0"/>
        <n v="130141.0"/>
        <n v="143133.0"/>
        <n v="147165.0"/>
        <n v="160605.0"/>
        <n v="142296.0"/>
        <n v="151256.0"/>
        <n v="159140.0"/>
        <n v="163620.0"/>
        <n v="150315.0"/>
        <n v="138729.0"/>
        <n v="144553.0"/>
        <n v="134289.0"/>
        <n v="142313.0"/>
        <n v="143729.0"/>
        <n v="134415.0"/>
        <n v="106911.0"/>
        <n v="116351.0"/>
        <n v="127207.0"/>
        <n v="107207.0"/>
        <n v="118535.0"/>
        <n v="119479.0"/>
        <n v="120423.0"/>
        <n v="123255.0"/>
        <n v="105857.0"/>
        <n v="89182.0"/>
        <n v="101454.0"/>
        <n v="108062.0"/>
        <n v="139978.0"/>
        <n v="121833.0"/>
        <n v="126553.0"/>
        <n v="105059.0"/>
        <n v="116859.0"/>
        <n v="124883.0"/>
        <n v="111798.0"/>
        <n v="114995.0"/>
        <n v="119715.0"/>
        <n v="131515.0"/>
        <n v="135197.0"/>
        <n v="138973.0"/>
        <n v="148611.0"/>
        <n v="170747.0"/>
        <n v="29194.0"/>
        <n v="38389.0"/>
        <n v="18644.0"/>
        <n v="27082.0"/>
        <n v="76891.0"/>
        <n v="87251.0"/>
        <n v="91954.0"/>
        <n v="102314.0"/>
        <n v="113193.0"/>
        <n v="121152.0"/>
        <n v="44302.0"/>
        <n v="50961.0"/>
        <n v="59270.0"/>
        <n v="19270.0"/>
        <n v="24978.0"/>
        <n v="35313.0"/>
        <n v="45673.0"/>
        <n v="26673.0"/>
        <n v="31854.0"/>
        <n v="41966.0"/>
        <n v="52617.0"/>
        <n v="56952.0"/>
        <n v="30659.0"/>
        <n v="41060.0"/>
        <n v="51420.0"/>
        <n v="1420.0"/>
        <n v="7916.0"/>
        <n v="18099.0"/>
        <n v="29449.0"/>
        <n v="40119.0"/>
        <n v="49250.0"/>
        <n v="59610.0"/>
        <n v="67379.0"/>
        <n v="76812.0"/>
        <n v="26812.0"/>
        <n v="37245.0"/>
        <n v="44498.0"/>
        <n v="54858.0"/>
        <n v="65218.0"/>
        <n v="68327.0"/>
        <n v="74577.0"/>
        <n v="81675.0"/>
        <n v="91545.0"/>
        <n v="97761.0"/>
        <n v="104496.0"/>
        <n v="110712.0"/>
        <n v="116758.0"/>
        <n v="127409.0"/>
        <n v="37409.0"/>
        <n v="46711.0"/>
        <n v="52603.0"/>
        <n v="56747.0"/>
        <n v="67662.0"/>
        <n v="72844.0"/>
        <n v="81442.0"/>
        <n v="21442.0"/>
        <n v="32673.0"/>
        <n v="41421.0"/>
        <n v="51790.0"/>
        <n v="60522.0"/>
        <n v="62606.0"/>
        <n v="67408.0"/>
        <n v="76847.0"/>
        <n v="86495.0"/>
        <n v="97411.0"/>
        <n v="107937.0"/>
        <n v="118853.0"/>
        <n v="125872.0"/>
        <n v="55872.0"/>
        <n v="67335.0"/>
        <n v="78251.0"/>
        <n v="87253.0"/>
        <n v="93995.0"/>
        <n v="105335.0"/>
        <n v="114067.0"/>
        <n v="123206.0"/>
        <n v="134373.0"/>
        <n v="34373.0"/>
        <n v="45223.0"/>
        <n v="56139.0"/>
        <n v="66072.0"/>
        <n v="74516.0"/>
        <n v="86566.0"/>
        <n v="95266.0"/>
        <n v="106966.0"/>
        <n v="128249.0"/>
        <n v="135890.0"/>
        <n v="150163.0"/>
        <n v="157661.0"/>
        <n v="57661.0"/>
        <n v="67414.0"/>
        <n v="72871.0"/>
        <n v="78754.0"/>
        <n v="110549.0"/>
        <n v="120063.0"/>
        <n v="131479.0"/>
        <n v="144712.0"/>
        <n v="152306.0"/>
        <n v="158708.0"/>
        <n v="169639.0"/>
        <n v="180266.0"/>
        <n v="191112.0"/>
        <n v="203304.0"/>
        <n v="53304.0"/>
        <n v="64001.0"/>
        <n v="33008.0"/>
        <n v="39930.0"/>
        <n v="43682.0"/>
        <n v="52642.0"/>
        <n v="58242.0"/>
        <n v="62722.0"/>
        <n v="87922.0"/>
        <n v="96602.0"/>
        <n v="102620.0"/>
        <n v="67540.0"/>
        <n v="68956.0"/>
        <n v="93736.0"/>
        <n v="120286.0"/>
        <n v="137986.0"/>
        <n v="156984.0"/>
        <n v="171794.0"/>
        <n v="188550.0"/>
        <n v="202238.0"/>
        <n v="223478.0"/>
        <n v="273478.0"/>
        <n v="323478.0"/>
        <n v="295356.0"/>
        <n v="306212.0"/>
        <n v="318308.0"/>
        <n v="268308.0"/>
        <n v="292262.0"/>
        <n v="22384.0"/>
        <n v="44686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Analysis Dashboard" cacheId="0" dataCaption="" compact="0" compactData="0">
  <location ref="A3:C15" firstHeaderRow="0" firstDataRow="2" firstDataCol="0" rowPageCount="1" colPageCount="1"/>
  <pivotFields>
    <pivotField name="S. No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t="default"/>
      </items>
    </pivotField>
    <pivotField name="Date" axis="axisPage" compact="0" numFmtId="14" outline="0" multipleItemSelectionAllowed="1" showAll="0">
      <items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x="22"/>
        <item x="23"/>
        <item x="24"/>
        <item x="25"/>
        <item x="26"/>
        <item x="27"/>
        <item x="28"/>
        <item x="29"/>
        <item t="default"/>
      </items>
    </pivotField>
    <pivotField name="Party Name" axis="axisRow" compact="0" outline="0" multipleItemSelectionAllowed="1" showAll="0" sortType="ascending">
      <items>
        <item x="9"/>
        <item x="14"/>
        <item x="0"/>
        <item x="7"/>
        <item x="15"/>
        <item x="13"/>
        <item x="10"/>
        <item x="11"/>
        <item x="6"/>
        <item x="2"/>
        <item x="4"/>
        <item x="8"/>
        <item x="1"/>
        <item x="3"/>
        <item x="12"/>
        <item x="5"/>
        <item t="default"/>
      </items>
    </pivotField>
    <pivotField name="Kg(s)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name="Shift" compact="0" outline="0" multipleItemSelectionAllowed="1" showAll="0">
      <items>
        <item x="0"/>
        <item t="default"/>
      </items>
    </pivotField>
    <pivotField name="Working Hours" compact="0" outline="0" multipleItemSelectionAllowed="1" showAll="0">
      <items>
        <item x="0"/>
        <item t="default"/>
      </items>
    </pivotField>
    <pivotField name="No. of Workers" compact="0" outline="0" multipleItemSelectionAllowed="1" showAll="0">
      <items>
        <item x="0"/>
        <item t="default"/>
      </items>
    </pivotField>
    <pivotField name="Materi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Labor Cost (₹)" compact="0" outline="0" multipleItemSelectionAllowed="1" showAll="0">
      <items>
        <item x="0"/>
        <item t="default"/>
      </items>
    </pivotField>
    <pivotField name="Electricity Units (kWh)" compact="0" outline="0" multipleItemSelectionAllowed="1" showAll="0">
      <items>
        <item x="0"/>
        <item t="default"/>
      </items>
    </pivotField>
    <pivotField name="Electricity Cost (₹)" compact="0" outline="0" multipleItemSelectionAllowed="1" showAll="0">
      <items>
        <item x="0"/>
        <item t="default"/>
      </items>
    </pivotField>
    <pivotField name="PNG Gas Consumption (MMBTU)" compact="0" outline="0" multipleItemSelectionAllowed="1" showAll="0">
      <items>
        <item x="0"/>
        <item t="default"/>
      </items>
    </pivotField>
    <pivotField name="PNG Cost (₹)" compact="0" outline="0" multipleItemSelectionAllowed="1" showAll="0">
      <items>
        <item x="0"/>
        <item t="default"/>
      </items>
    </pivotField>
    <pivotField name="Machine Utilization (%)" compact="0" outline="0" multipleItemSelectionAllowed="1" showAll="0">
      <items>
        <item x="0"/>
        <item t="default"/>
      </items>
    </pivotField>
    <pivotField name="Other Cost (Diesel+Jeep+etc)" compact="0" outline="0" multipleItemSelectionAllowed="1" showAll="0">
      <items>
        <item x="0"/>
        <item t="default"/>
      </items>
    </pivotField>
    <pivotField name="Total Input Cost (₹)" compact="0" outline="0" multipleItemSelectionAllowed="1" showAll="0">
      <items>
        <item x="0"/>
        <item t="default"/>
      </items>
    </pivotField>
    <pivotField name="R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Production Output (₹)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</pivotFields>
  <rowFields>
    <field x="2"/>
  </rowFields>
  <colFields>
    <field x="-2"/>
  </colFields>
  <pageFields>
    <pageField fld="1"/>
  </pageFields>
  <dataFields>
    <dataField name="SUM of Kg(s)" fld="3" baseField="0"/>
    <dataField name="SUM of Production Output (₹)" fld="17" baseField="0"/>
  </dataFields>
</pivotTableDefinition>
</file>

<file path=xl/pivotTables/pivotTable2.xml><?xml version="1.0" encoding="utf-8"?>
<pivotTableDefinition xmlns="http://schemas.openxmlformats.org/spreadsheetml/2006/main" name="Pivot Table 4" cacheId="1" dataCaption="" compact="0" compactData="0">
  <location ref="A3:C23" firstHeaderRow="0" firstDataRow="2" firstDataCol="0" rowPageCount="1" colPageCount="1"/>
  <pivotFields>
    <pivotField name="Date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t="default"/>
      </items>
    </pivotField>
    <pivotField name="Date Year" axis="axisPage" compact="0" outline="0" multipleItemSelectionAllowed="1" showAll="0">
      <items>
        <item h="1" x="0"/>
        <item x="1"/>
        <item t="default"/>
      </items>
    </pivotField>
    <pivotField name="Party Name" axis="axisRow" compact="0" outline="0" multipleItemSelectionAllowed="1" showAll="0" sortType="ascending">
      <items>
        <item x="0"/>
        <item x="1"/>
        <item x="2"/>
        <item x="3"/>
        <item x="4"/>
        <item x="18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Particula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t="default"/>
      </items>
    </pivotField>
    <pivotField name="Cred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name="Deb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t="default"/>
      </items>
    </pivotField>
    <pivotField name="Bal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t="default"/>
      </items>
    </pivotField>
  </pivotFields>
  <rowFields>
    <field x="2"/>
  </rowFields>
  <colFields>
    <field x="-2"/>
  </colFields>
  <pageFields>
    <pageField fld="1"/>
  </pageFields>
  <dataFields>
    <dataField name="SUM of Debit" fld="5" baseField="0"/>
    <dataField name="SUM of Credit" fld="4" baseField="0"/>
  </dataFields>
</pivotTableDefinition>
</file>

<file path=xl/tables/table1.xml><?xml version="1.0" encoding="utf-8"?>
<table xmlns="http://schemas.openxmlformats.org/spreadsheetml/2006/main" ref="A1:R87" displayName="Table1" name="Table1" id="1">
  <autoFilter ref="$A$1:$R$87">
    <filterColumn colId="2">
      <filters>
        <filter val="KIC"/>
      </filters>
    </filterColumn>
  </autoFilter>
  <tableColumns count="18">
    <tableColumn name="S. No." id="1"/>
    <tableColumn name="Date" id="2"/>
    <tableColumn name="Party Name" id="3"/>
    <tableColumn name="Kg(s)" id="4"/>
    <tableColumn name="Shift" id="5"/>
    <tableColumn name="Working Hours" id="6"/>
    <tableColumn name="No. of Workers" id="7"/>
    <tableColumn name="Material" id="8"/>
    <tableColumn name="Labor Cost (₹)" id="9"/>
    <tableColumn name="Electricity Units (kWh)" id="10"/>
    <tableColumn name="Electricity Cost (₹)" id="11"/>
    <tableColumn name="PNG Gas Consumption (MMBTU)" id="12"/>
    <tableColumn name="PNG Cost (₹)" id="13"/>
    <tableColumn name="Machine Utilization (%)" id="14"/>
    <tableColumn name="Other Cost (Diesel+Jeep+etc)" id="15"/>
    <tableColumn name="Total Input Cost (₹)" id="16"/>
    <tableColumn name="Rate" id="17"/>
    <tableColumn name="Production Output (₹)" id="18"/>
  </tableColumns>
  <tableStyleInfo name="Daily Production Matrix-style" showColumnStripes="0" showFirstColumn="1" showLastColumn="1" showRowStripes="1"/>
</table>
</file>

<file path=xl/tables/table2.xml><?xml version="1.0" encoding="utf-8"?>
<table xmlns="http://schemas.openxmlformats.org/spreadsheetml/2006/main" ref="A1:G475" displayName="Table2" name="Table2" id="2">
  <autoFilter ref="$A$1:$G$475"/>
  <tableColumns count="7">
    <tableColumn name="Date" id="1"/>
    <tableColumn name="Date Year" id="2"/>
    <tableColumn name="Party Name" id="3"/>
    <tableColumn name="Particulars" id="4"/>
    <tableColumn name="Credit" id="5"/>
    <tableColumn name="Debit" id="6"/>
    <tableColumn name="Balance" id="7"/>
  </tableColumns>
  <tableStyleInfo name="Ledger Repor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14"/>
    <col customWidth="1" min="2" max="2" width="11.57"/>
    <col customWidth="1" min="3" max="3" width="17.29"/>
    <col customWidth="1" min="4" max="4" width="11.29"/>
    <col customWidth="1" hidden="1" min="5" max="5" width="4.71"/>
    <col customWidth="1" hidden="1" min="6" max="6" width="12.43"/>
    <col customWidth="1" hidden="1" min="7" max="7" width="12.29"/>
    <col customWidth="1" min="8" max="8" width="26.14"/>
    <col customWidth="1" hidden="1" min="9" max="9" width="11.43"/>
    <col customWidth="1" hidden="1" min="10" max="10" width="18.14"/>
    <col customWidth="1" hidden="1" min="11" max="11" width="14.71"/>
    <col customWidth="1" hidden="1" min="12" max="12" width="26.0"/>
    <col customWidth="1" hidden="1" min="13" max="13" width="10.71"/>
    <col customWidth="1" hidden="1" min="14" max="15" width="18.86"/>
    <col customWidth="1" hidden="1" min="16" max="16" width="15.43"/>
    <col customWidth="1" min="17" max="17" width="10.57"/>
    <col customWidth="1" min="18" max="18" width="30.0"/>
    <col customWidth="1" hidden="1" min="19" max="19" width="20.14"/>
    <col customWidth="1" hidden="1" min="20" max="20" width="7.43"/>
    <col customWidth="1" min="21" max="26" width="8.86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3" t="s">
        <v>20</v>
      </c>
    </row>
    <row r="2" ht="22.5" hidden="1" customHeight="1">
      <c r="A2" s="4">
        <v>1.0</v>
      </c>
      <c r="B2" s="5">
        <v>46081.0</v>
      </c>
      <c r="C2" s="4" t="s">
        <v>21</v>
      </c>
      <c r="D2" s="6">
        <v>450.0</v>
      </c>
      <c r="H2" s="4" t="s">
        <v>22</v>
      </c>
      <c r="Q2" s="7">
        <f t="shared" ref="Q2:Q28" si="1">round(R2/D2, 2)</f>
        <v>8.26</v>
      </c>
      <c r="R2" s="7">
        <v>3716.0</v>
      </c>
    </row>
    <row r="3" ht="22.5" hidden="1" customHeight="1">
      <c r="A3" s="4">
        <v>2.0</v>
      </c>
      <c r="B3" s="5">
        <v>46083.0</v>
      </c>
      <c r="C3" s="4" t="s">
        <v>23</v>
      </c>
      <c r="D3" s="6">
        <v>315.0</v>
      </c>
      <c r="H3" s="4" t="s">
        <v>24</v>
      </c>
      <c r="Q3" s="7">
        <f t="shared" si="1"/>
        <v>8.26</v>
      </c>
      <c r="R3" s="7">
        <v>2601.0</v>
      </c>
    </row>
    <row r="4" ht="22.5" hidden="1" customHeight="1">
      <c r="A4" s="4">
        <v>3.0</v>
      </c>
      <c r="B4" s="5">
        <v>46083.0</v>
      </c>
      <c r="C4" s="4" t="s">
        <v>25</v>
      </c>
      <c r="D4" s="6">
        <v>3931.0</v>
      </c>
      <c r="H4" s="4" t="s">
        <v>26</v>
      </c>
      <c r="Q4" s="7">
        <f t="shared" si="1"/>
        <v>8.26</v>
      </c>
      <c r="R4" s="7">
        <v>32471.0</v>
      </c>
    </row>
    <row r="5" ht="22.5" hidden="1" customHeight="1">
      <c r="A5" s="4">
        <v>4.0</v>
      </c>
      <c r="B5" s="5">
        <v>46083.0</v>
      </c>
      <c r="C5" s="4" t="s">
        <v>27</v>
      </c>
      <c r="D5" s="6">
        <v>301.0</v>
      </c>
      <c r="H5" s="4" t="s">
        <v>28</v>
      </c>
      <c r="Q5" s="7">
        <f t="shared" si="1"/>
        <v>10.62</v>
      </c>
      <c r="R5" s="7">
        <v>3197.0</v>
      </c>
    </row>
    <row r="6" ht="22.5" hidden="1" customHeight="1">
      <c r="A6" s="4">
        <v>5.0</v>
      </c>
      <c r="B6" s="5">
        <v>46084.0</v>
      </c>
      <c r="C6" s="4" t="s">
        <v>23</v>
      </c>
      <c r="D6" s="6">
        <v>596.0</v>
      </c>
      <c r="H6" s="4" t="s">
        <v>29</v>
      </c>
      <c r="Q6" s="7">
        <f t="shared" si="1"/>
        <v>8.26</v>
      </c>
      <c r="R6" s="7">
        <v>4922.0</v>
      </c>
    </row>
    <row r="7" ht="22.5" hidden="1" customHeight="1">
      <c r="A7" s="4">
        <v>6.0</v>
      </c>
      <c r="B7" s="5">
        <v>46087.0</v>
      </c>
      <c r="C7" s="4" t="s">
        <v>27</v>
      </c>
      <c r="D7" s="6">
        <v>1250.0</v>
      </c>
      <c r="H7" s="4" t="s">
        <v>28</v>
      </c>
      <c r="Q7" s="7">
        <f t="shared" si="1"/>
        <v>9.44</v>
      </c>
      <c r="R7" s="7">
        <v>11800.0</v>
      </c>
    </row>
    <row r="8" ht="22.5" hidden="1" customHeight="1">
      <c r="A8" s="4">
        <v>7.0</v>
      </c>
      <c r="B8" s="5">
        <v>46088.0</v>
      </c>
      <c r="C8" s="4" t="s">
        <v>30</v>
      </c>
      <c r="D8" s="6">
        <v>1396.0</v>
      </c>
      <c r="H8" s="4" t="s">
        <v>31</v>
      </c>
      <c r="Q8" s="7">
        <f t="shared" si="1"/>
        <v>10</v>
      </c>
      <c r="R8" s="7">
        <v>13960.0</v>
      </c>
    </row>
    <row r="9" ht="22.5" hidden="1" customHeight="1">
      <c r="A9" s="4">
        <v>8.0</v>
      </c>
      <c r="B9" s="5">
        <v>46091.0</v>
      </c>
      <c r="C9" s="4" t="s">
        <v>32</v>
      </c>
      <c r="D9" s="6">
        <v>2710.0</v>
      </c>
      <c r="H9" s="4" t="s">
        <v>33</v>
      </c>
      <c r="Q9" s="7">
        <f t="shared" si="1"/>
        <v>8.26</v>
      </c>
      <c r="R9" s="7">
        <v>22384.0</v>
      </c>
    </row>
    <row r="10" ht="22.5" hidden="1" customHeight="1">
      <c r="A10" s="4">
        <v>9.0</v>
      </c>
      <c r="B10" s="5">
        <v>46091.0</v>
      </c>
      <c r="C10" s="4" t="s">
        <v>23</v>
      </c>
      <c r="D10" s="6">
        <v>1015.0</v>
      </c>
      <c r="H10" s="4" t="s">
        <v>34</v>
      </c>
      <c r="Q10" s="7">
        <f t="shared" si="1"/>
        <v>8.26</v>
      </c>
      <c r="R10" s="7">
        <v>8383.0</v>
      </c>
    </row>
    <row r="11" ht="22.5" hidden="1" customHeight="1">
      <c r="A11" s="4">
        <v>10.0</v>
      </c>
      <c r="B11" s="5">
        <v>46093.0</v>
      </c>
      <c r="C11" s="4" t="s">
        <v>35</v>
      </c>
      <c r="D11" s="6">
        <v>717.5</v>
      </c>
      <c r="H11" s="4" t="s">
        <v>36</v>
      </c>
      <c r="Q11" s="7">
        <f t="shared" si="1"/>
        <v>9.44</v>
      </c>
      <c r="R11" s="7">
        <v>6774.0</v>
      </c>
    </row>
    <row r="12" ht="22.5" hidden="1" customHeight="1">
      <c r="A12" s="4">
        <v>11.0</v>
      </c>
      <c r="B12" s="5">
        <v>46093.0</v>
      </c>
      <c r="C12" s="4" t="s">
        <v>23</v>
      </c>
      <c r="D12" s="6">
        <v>383.0</v>
      </c>
      <c r="H12" s="4" t="s">
        <v>37</v>
      </c>
      <c r="Q12" s="7">
        <f t="shared" si="1"/>
        <v>8.26</v>
      </c>
      <c r="R12" s="7">
        <v>3163.0</v>
      </c>
    </row>
    <row r="13" ht="22.5" hidden="1" customHeight="1">
      <c r="A13" s="4">
        <v>12.0</v>
      </c>
      <c r="B13" s="5">
        <v>46093.0</v>
      </c>
      <c r="C13" s="4" t="s">
        <v>32</v>
      </c>
      <c r="D13" s="6">
        <v>2700.0</v>
      </c>
      <c r="H13" s="4" t="s">
        <v>33</v>
      </c>
      <c r="Q13" s="7">
        <f t="shared" si="1"/>
        <v>8.26</v>
      </c>
      <c r="R13" s="7">
        <v>22302.0</v>
      </c>
    </row>
    <row r="14" ht="22.5" hidden="1" customHeight="1">
      <c r="A14" s="4">
        <v>13.0</v>
      </c>
      <c r="B14" s="5">
        <v>46094.0</v>
      </c>
      <c r="C14" s="4" t="s">
        <v>38</v>
      </c>
      <c r="D14" s="6">
        <v>2550.0</v>
      </c>
      <c r="H14" s="4" t="s">
        <v>39</v>
      </c>
      <c r="Q14" s="7">
        <f t="shared" si="1"/>
        <v>8.85</v>
      </c>
      <c r="R14" s="7">
        <v>22567.0</v>
      </c>
    </row>
    <row r="15" ht="22.5" hidden="1" customHeight="1">
      <c r="A15" s="4">
        <v>14.0</v>
      </c>
      <c r="B15" s="5">
        <v>46094.0</v>
      </c>
      <c r="C15" s="4" t="s">
        <v>35</v>
      </c>
      <c r="D15" s="6">
        <v>645.0</v>
      </c>
      <c r="H15" s="4" t="s">
        <v>40</v>
      </c>
      <c r="Q15" s="7">
        <f t="shared" si="1"/>
        <v>9.44</v>
      </c>
      <c r="R15" s="7">
        <v>6088.0</v>
      </c>
    </row>
    <row r="16" ht="22.5" hidden="1" customHeight="1">
      <c r="A16" s="4">
        <v>15.0</v>
      </c>
      <c r="B16" s="5">
        <v>46095.0</v>
      </c>
      <c r="C16" s="4" t="s">
        <v>23</v>
      </c>
      <c r="D16" s="6">
        <v>300.0</v>
      </c>
      <c r="H16" s="4" t="s">
        <v>41</v>
      </c>
      <c r="Q16" s="7">
        <f t="shared" si="1"/>
        <v>10.62</v>
      </c>
      <c r="R16" s="7">
        <v>3186.0</v>
      </c>
    </row>
    <row r="17" ht="22.5" hidden="1" customHeight="1">
      <c r="A17" s="4">
        <v>16.0</v>
      </c>
      <c r="B17" s="5">
        <v>46095.0</v>
      </c>
      <c r="C17" s="4" t="s">
        <v>42</v>
      </c>
      <c r="D17" s="6">
        <v>410.0</v>
      </c>
      <c r="H17" s="4" t="s">
        <v>43</v>
      </c>
      <c r="Q17" s="7">
        <f t="shared" si="1"/>
        <v>12.39</v>
      </c>
      <c r="R17" s="7">
        <v>5079.0</v>
      </c>
    </row>
    <row r="18" ht="22.5" hidden="1" customHeight="1">
      <c r="A18" s="4">
        <v>17.0</v>
      </c>
      <c r="B18" s="5">
        <v>46097.0</v>
      </c>
      <c r="C18" s="4" t="s">
        <v>38</v>
      </c>
      <c r="D18" s="6">
        <v>2550.0</v>
      </c>
      <c r="H18" s="4" t="s">
        <v>39</v>
      </c>
      <c r="Q18" s="7">
        <f t="shared" si="1"/>
        <v>8.85</v>
      </c>
      <c r="R18" s="7">
        <v>22567.0</v>
      </c>
    </row>
    <row r="19" ht="22.5" hidden="1" customHeight="1">
      <c r="A19" s="4">
        <v>18.0</v>
      </c>
      <c r="B19" s="5">
        <v>46098.0</v>
      </c>
      <c r="C19" s="4" t="s">
        <v>23</v>
      </c>
      <c r="D19" s="6">
        <v>220.0</v>
      </c>
      <c r="H19" s="4" t="s">
        <v>44</v>
      </c>
      <c r="Q19" s="7">
        <f t="shared" si="1"/>
        <v>8.26</v>
      </c>
      <c r="R19" s="7">
        <v>1818.0</v>
      </c>
    </row>
    <row r="20" ht="22.5" hidden="1" customHeight="1">
      <c r="A20" s="4">
        <v>19.0</v>
      </c>
      <c r="B20" s="5">
        <v>46098.0</v>
      </c>
      <c r="C20" s="4" t="s">
        <v>38</v>
      </c>
      <c r="D20" s="6">
        <v>1694.0</v>
      </c>
      <c r="H20" s="4" t="s">
        <v>45</v>
      </c>
      <c r="Q20" s="7">
        <f t="shared" si="1"/>
        <v>8.85</v>
      </c>
      <c r="R20" s="7">
        <v>14991.0</v>
      </c>
    </row>
    <row r="21" ht="15.75" hidden="1" customHeight="1">
      <c r="A21" s="4">
        <v>20.0</v>
      </c>
      <c r="B21" s="5">
        <v>46099.0</v>
      </c>
      <c r="C21" s="4" t="s">
        <v>42</v>
      </c>
      <c r="D21" s="6">
        <v>1120.0</v>
      </c>
      <c r="H21" s="4" t="s">
        <v>43</v>
      </c>
      <c r="Q21" s="7">
        <f t="shared" si="1"/>
        <v>12.39</v>
      </c>
      <c r="R21" s="7">
        <v>13876.0</v>
      </c>
    </row>
    <row r="22" ht="15.75" hidden="1" customHeight="1">
      <c r="A22" s="4">
        <v>21.0</v>
      </c>
      <c r="B22" s="5">
        <v>46099.0</v>
      </c>
      <c r="C22" s="4" t="s">
        <v>46</v>
      </c>
      <c r="D22" s="6">
        <v>1545.0</v>
      </c>
      <c r="H22" s="4" t="s">
        <v>47</v>
      </c>
      <c r="Q22" s="7">
        <f t="shared" si="1"/>
        <v>11.8</v>
      </c>
      <c r="R22" s="7">
        <v>18230.0</v>
      </c>
    </row>
    <row r="23" ht="15.75" hidden="1" customHeight="1">
      <c r="A23" s="4">
        <v>22.0</v>
      </c>
      <c r="B23" s="5">
        <v>46100.0</v>
      </c>
      <c r="C23" s="4" t="s">
        <v>42</v>
      </c>
      <c r="D23" s="6">
        <v>1940.0</v>
      </c>
      <c r="H23" s="4" t="s">
        <v>28</v>
      </c>
      <c r="Q23" s="7">
        <f t="shared" si="1"/>
        <v>12.39</v>
      </c>
      <c r="R23" s="7">
        <v>24036.0</v>
      </c>
    </row>
    <row r="24" ht="15.75" hidden="1" customHeight="1">
      <c r="A24" s="4">
        <v>23.0</v>
      </c>
      <c r="B24" s="5">
        <v>46101.0</v>
      </c>
      <c r="C24" s="4" t="s">
        <v>38</v>
      </c>
      <c r="D24" s="6">
        <v>2875.0</v>
      </c>
      <c r="H24" s="4" t="s">
        <v>39</v>
      </c>
      <c r="Q24" s="7">
        <f t="shared" si="1"/>
        <v>8.85</v>
      </c>
      <c r="R24" s="7">
        <v>25444.0</v>
      </c>
    </row>
    <row r="25" ht="15.75" hidden="1" customHeight="1">
      <c r="A25" s="4">
        <v>24.0</v>
      </c>
      <c r="B25" s="5">
        <v>46101.0</v>
      </c>
      <c r="C25" s="4" t="s">
        <v>23</v>
      </c>
      <c r="D25" s="6">
        <v>501.0</v>
      </c>
      <c r="H25" s="4" t="s">
        <v>48</v>
      </c>
      <c r="Q25" s="7">
        <f t="shared" si="1"/>
        <v>8.26</v>
      </c>
      <c r="R25" s="7">
        <v>4139.0</v>
      </c>
    </row>
    <row r="26" ht="15.75" hidden="1" customHeight="1">
      <c r="A26" s="4">
        <v>25.0</v>
      </c>
      <c r="B26" s="5">
        <v>46102.0</v>
      </c>
      <c r="C26" s="4" t="s">
        <v>38</v>
      </c>
      <c r="D26" s="6">
        <v>3885.0</v>
      </c>
      <c r="H26" s="4" t="s">
        <v>39</v>
      </c>
      <c r="Q26" s="7">
        <f t="shared" si="1"/>
        <v>8.85</v>
      </c>
      <c r="R26" s="7">
        <v>34381.0</v>
      </c>
    </row>
    <row r="27" ht="15.75" hidden="1" customHeight="1">
      <c r="A27" s="4">
        <v>26.0</v>
      </c>
      <c r="B27" s="5">
        <v>46102.0</v>
      </c>
      <c r="C27" s="4" t="s">
        <v>46</v>
      </c>
      <c r="D27" s="6">
        <v>1850.0</v>
      </c>
      <c r="H27" s="4" t="s">
        <v>49</v>
      </c>
      <c r="Q27" s="7">
        <f t="shared" si="1"/>
        <v>11.51</v>
      </c>
      <c r="R27" s="7">
        <v>21298.0</v>
      </c>
    </row>
    <row r="28" ht="15.75" hidden="1" customHeight="1">
      <c r="A28" s="4">
        <v>27.0</v>
      </c>
      <c r="B28" s="5">
        <v>46102.0</v>
      </c>
      <c r="C28" s="4" t="s">
        <v>50</v>
      </c>
      <c r="D28" s="6">
        <v>3353.0</v>
      </c>
      <c r="H28" s="4" t="s">
        <v>51</v>
      </c>
      <c r="Q28" s="7">
        <f t="shared" si="1"/>
        <v>11.8</v>
      </c>
      <c r="R28" s="7">
        <v>39566.0</v>
      </c>
    </row>
    <row r="29" ht="15.75" hidden="1" customHeight="1">
      <c r="A29" s="4">
        <v>28.0</v>
      </c>
      <c r="B29" s="5">
        <v>46102.0</v>
      </c>
      <c r="C29" s="4" t="s">
        <v>35</v>
      </c>
      <c r="D29" s="6">
        <v>460.0</v>
      </c>
      <c r="H29" s="4" t="s">
        <v>52</v>
      </c>
      <c r="Q29" s="7">
        <v>8.0</v>
      </c>
      <c r="R29" s="7">
        <v>6476.0</v>
      </c>
    </row>
    <row r="30" ht="15.75" hidden="1" customHeight="1">
      <c r="A30" s="4">
        <v>29.0</v>
      </c>
      <c r="B30" s="5">
        <v>46104.0</v>
      </c>
      <c r="C30" s="4" t="s">
        <v>53</v>
      </c>
      <c r="D30" s="6">
        <v>4146.5</v>
      </c>
      <c r="H30" s="4" t="s">
        <v>54</v>
      </c>
      <c r="Q30" s="7">
        <v>10.0</v>
      </c>
      <c r="R30" s="7">
        <v>48929.0</v>
      </c>
    </row>
    <row r="31" ht="15.75" hidden="1" customHeight="1">
      <c r="A31" s="4">
        <v>30.0</v>
      </c>
      <c r="B31" s="5">
        <v>46104.0</v>
      </c>
      <c r="C31" s="4" t="s">
        <v>23</v>
      </c>
      <c r="D31" s="8">
        <v>3023.0</v>
      </c>
      <c r="H31" s="4" t="s">
        <v>54</v>
      </c>
      <c r="Q31" s="7">
        <v>9.0</v>
      </c>
      <c r="R31" s="7">
        <v>32105.0</v>
      </c>
    </row>
    <row r="32" ht="15.75" hidden="1" customHeight="1">
      <c r="A32" s="4">
        <v>31.0</v>
      </c>
      <c r="B32" s="5">
        <v>46105.0</v>
      </c>
      <c r="C32" s="4" t="s">
        <v>21</v>
      </c>
      <c r="D32" s="8">
        <v>903.0</v>
      </c>
      <c r="H32" s="4" t="s">
        <v>54</v>
      </c>
      <c r="Q32" s="4">
        <f t="shared" ref="Q32:Q87" si="2">round(R32/D32, 2)</f>
        <v>10.62</v>
      </c>
      <c r="R32" s="7">
        <v>9589.0</v>
      </c>
    </row>
    <row r="33" ht="15.75" hidden="1" customHeight="1">
      <c r="A33" s="4">
        <v>32.0</v>
      </c>
      <c r="B33" s="5">
        <v>46105.0</v>
      </c>
      <c r="C33" s="4" t="s">
        <v>53</v>
      </c>
      <c r="D33" s="8">
        <v>1790.5</v>
      </c>
      <c r="H33" s="4" t="s">
        <v>54</v>
      </c>
      <c r="Q33" s="4">
        <f t="shared" si="2"/>
        <v>11.8</v>
      </c>
      <c r="R33" s="7">
        <v>21127.0</v>
      </c>
    </row>
    <row r="34" ht="15.75" hidden="1" customHeight="1">
      <c r="A34" s="4">
        <v>33.0</v>
      </c>
      <c r="B34" s="5">
        <v>46105.0</v>
      </c>
      <c r="C34" s="4" t="s">
        <v>53</v>
      </c>
      <c r="D34" s="8">
        <v>5094.0</v>
      </c>
      <c r="H34" s="4" t="s">
        <v>54</v>
      </c>
      <c r="Q34" s="4">
        <f t="shared" si="2"/>
        <v>11.8</v>
      </c>
      <c r="R34" s="7">
        <v>60110.0</v>
      </c>
    </row>
    <row r="35" ht="15.75" hidden="1" customHeight="1">
      <c r="A35" s="4">
        <v>34.0</v>
      </c>
      <c r="B35" s="5">
        <v>46106.0</v>
      </c>
      <c r="C35" s="4" t="s">
        <v>38</v>
      </c>
      <c r="D35" s="8">
        <v>2373.0</v>
      </c>
      <c r="H35" s="4" t="s">
        <v>54</v>
      </c>
      <c r="Q35" s="4">
        <f t="shared" si="2"/>
        <v>8.85</v>
      </c>
      <c r="R35" s="7">
        <v>21001.0</v>
      </c>
    </row>
    <row r="36" ht="15.75" hidden="1" customHeight="1">
      <c r="A36" s="4">
        <v>35.0</v>
      </c>
      <c r="B36" s="5">
        <v>46106.0</v>
      </c>
      <c r="C36" s="4" t="s">
        <v>38</v>
      </c>
      <c r="D36" s="8">
        <v>3000.0</v>
      </c>
      <c r="H36" s="4" t="s">
        <v>54</v>
      </c>
      <c r="Q36" s="4">
        <f t="shared" si="2"/>
        <v>5.9</v>
      </c>
      <c r="R36" s="7">
        <v>17700.0</v>
      </c>
    </row>
    <row r="37" ht="15.75" hidden="1" customHeight="1">
      <c r="A37" s="4">
        <v>36.0</v>
      </c>
      <c r="B37" s="5">
        <v>46106.0</v>
      </c>
      <c r="C37" s="4" t="s">
        <v>46</v>
      </c>
      <c r="D37" s="6">
        <v>1730.0</v>
      </c>
      <c r="H37" s="4" t="s">
        <v>54</v>
      </c>
      <c r="Q37" s="4">
        <f t="shared" si="2"/>
        <v>10.03</v>
      </c>
      <c r="R37" s="7">
        <v>17351.0</v>
      </c>
    </row>
    <row r="38" ht="15.75" hidden="1" customHeight="1">
      <c r="A38" s="4">
        <v>37.0</v>
      </c>
      <c r="B38" s="5">
        <v>46107.0</v>
      </c>
      <c r="C38" s="4" t="s">
        <v>42</v>
      </c>
      <c r="D38" s="6">
        <v>2900.0</v>
      </c>
      <c r="H38" s="4" t="s">
        <v>54</v>
      </c>
      <c r="Q38" s="4">
        <f t="shared" si="2"/>
        <v>12.39</v>
      </c>
      <c r="R38" s="7">
        <v>35930.0</v>
      </c>
    </row>
    <row r="39" ht="15.75" hidden="1" customHeight="1">
      <c r="A39" s="4">
        <v>38.0</v>
      </c>
      <c r="B39" s="5">
        <v>46107.0</v>
      </c>
      <c r="C39" s="4" t="s">
        <v>53</v>
      </c>
      <c r="D39" s="6">
        <v>1525.0</v>
      </c>
      <c r="H39" s="4" t="s">
        <v>54</v>
      </c>
      <c r="Q39" s="4">
        <f t="shared" si="2"/>
        <v>11.8</v>
      </c>
      <c r="R39" s="7">
        <v>17994.0</v>
      </c>
    </row>
    <row r="40" ht="15.75" hidden="1" customHeight="1">
      <c r="A40" s="4">
        <v>39.0</v>
      </c>
      <c r="B40" s="5">
        <v>46107.0</v>
      </c>
      <c r="C40" s="4" t="s">
        <v>21</v>
      </c>
      <c r="D40" s="6">
        <v>2500.0</v>
      </c>
      <c r="H40" s="4" t="s">
        <v>54</v>
      </c>
      <c r="Q40" s="4">
        <f t="shared" si="2"/>
        <v>10.62</v>
      </c>
      <c r="R40" s="7">
        <v>26550.0</v>
      </c>
    </row>
    <row r="41" ht="15.75" hidden="1" customHeight="1">
      <c r="A41" s="4">
        <v>40.0</v>
      </c>
      <c r="B41" s="5">
        <v>46108.0</v>
      </c>
      <c r="C41" s="4" t="s">
        <v>23</v>
      </c>
      <c r="D41" s="6">
        <v>1105.0</v>
      </c>
      <c r="H41" s="4" t="s">
        <v>54</v>
      </c>
      <c r="Q41" s="4">
        <f t="shared" si="2"/>
        <v>10.62</v>
      </c>
      <c r="R41" s="7">
        <v>11735.0</v>
      </c>
    </row>
    <row r="42" ht="15.75" hidden="1" customHeight="1">
      <c r="A42" s="4">
        <v>41.0</v>
      </c>
      <c r="B42" s="5">
        <v>46108.0</v>
      </c>
      <c r="C42" s="4" t="s">
        <v>23</v>
      </c>
      <c r="D42" s="6">
        <v>625.0</v>
      </c>
      <c r="H42" s="4" t="s">
        <v>54</v>
      </c>
      <c r="Q42" s="4">
        <f t="shared" si="2"/>
        <v>8.26</v>
      </c>
      <c r="R42" s="7">
        <v>5163.0</v>
      </c>
    </row>
    <row r="43" ht="15.75" hidden="1" customHeight="1">
      <c r="A43" s="4">
        <v>42.0</v>
      </c>
      <c r="B43" s="5">
        <v>46108.0</v>
      </c>
      <c r="C43" s="4" t="s">
        <v>38</v>
      </c>
      <c r="D43" s="6">
        <v>2825.0</v>
      </c>
      <c r="H43" s="4" t="s">
        <v>54</v>
      </c>
      <c r="Q43" s="4">
        <f t="shared" si="2"/>
        <v>6</v>
      </c>
      <c r="R43" s="7">
        <v>16963.0</v>
      </c>
    </row>
    <row r="44" ht="15.75" hidden="1" customHeight="1">
      <c r="A44" s="4">
        <v>43.0</v>
      </c>
      <c r="B44" s="9">
        <v>46111.0</v>
      </c>
      <c r="C44" s="10" t="s">
        <v>46</v>
      </c>
      <c r="D44" s="10">
        <v>2079.0</v>
      </c>
      <c r="H44" s="10" t="s">
        <v>54</v>
      </c>
      <c r="Q44" s="4">
        <f t="shared" si="2"/>
        <v>6.36</v>
      </c>
      <c r="R44" s="11">
        <v>13219.0</v>
      </c>
    </row>
    <row r="45" ht="15.75" hidden="1" customHeight="1">
      <c r="A45" s="4">
        <v>44.0</v>
      </c>
      <c r="B45" s="9">
        <v>46111.0</v>
      </c>
      <c r="C45" s="10" t="s">
        <v>53</v>
      </c>
      <c r="D45" s="10">
        <v>1300.0</v>
      </c>
      <c r="H45" s="10" t="s">
        <v>54</v>
      </c>
      <c r="Q45" s="4">
        <f t="shared" si="2"/>
        <v>11.8</v>
      </c>
      <c r="R45" s="11">
        <v>15340.0</v>
      </c>
    </row>
    <row r="46" ht="15.75" hidden="1" customHeight="1">
      <c r="A46" s="4">
        <v>45.0</v>
      </c>
      <c r="B46" s="9">
        <v>46111.0</v>
      </c>
      <c r="C46" s="10" t="s">
        <v>42</v>
      </c>
      <c r="D46" s="10">
        <v>3330.0</v>
      </c>
      <c r="H46" s="10" t="s">
        <v>54</v>
      </c>
      <c r="Q46" s="4">
        <f t="shared" si="2"/>
        <v>12.39</v>
      </c>
      <c r="R46" s="11">
        <v>41259.0</v>
      </c>
    </row>
    <row r="47" ht="15.75" hidden="1" customHeight="1">
      <c r="A47" s="4">
        <v>46.0</v>
      </c>
      <c r="B47" s="9">
        <v>46112.0</v>
      </c>
      <c r="C47" s="10" t="s">
        <v>42</v>
      </c>
      <c r="D47" s="10">
        <v>2890.0</v>
      </c>
      <c r="H47" s="10" t="s">
        <v>28</v>
      </c>
      <c r="Q47" s="4">
        <f t="shared" si="2"/>
        <v>12.39</v>
      </c>
      <c r="R47" s="11">
        <v>35807.0</v>
      </c>
    </row>
    <row r="48" ht="15.75" hidden="1" customHeight="1">
      <c r="A48" s="4">
        <v>47.0</v>
      </c>
      <c r="B48" s="9">
        <v>46112.0</v>
      </c>
      <c r="C48" s="10" t="s">
        <v>55</v>
      </c>
      <c r="D48" s="10">
        <v>1580.0</v>
      </c>
      <c r="H48" s="10" t="s">
        <v>28</v>
      </c>
      <c r="Q48" s="4">
        <f t="shared" si="2"/>
        <v>11.8</v>
      </c>
      <c r="R48" s="11">
        <v>18644.0</v>
      </c>
    </row>
    <row r="49" ht="15.75" hidden="1" customHeight="1">
      <c r="A49" s="4">
        <v>48.0</v>
      </c>
      <c r="B49" s="9">
        <v>46112.0</v>
      </c>
      <c r="C49" s="10" t="s">
        <v>38</v>
      </c>
      <c r="D49" s="10">
        <v>3106.0</v>
      </c>
      <c r="H49" s="10" t="s">
        <v>56</v>
      </c>
      <c r="Q49" s="4">
        <f t="shared" si="2"/>
        <v>8.85</v>
      </c>
      <c r="R49" s="11">
        <v>27487.0</v>
      </c>
    </row>
    <row r="50" ht="15.75" hidden="1" customHeight="1">
      <c r="A50" s="4">
        <v>49.0</v>
      </c>
      <c r="B50" s="12">
        <v>46113.0</v>
      </c>
      <c r="C50" s="10" t="s">
        <v>21</v>
      </c>
      <c r="D50" s="10">
        <v>2130.0</v>
      </c>
      <c r="H50" s="10" t="s">
        <v>54</v>
      </c>
      <c r="Q50" s="4">
        <f t="shared" si="2"/>
        <v>8.26</v>
      </c>
      <c r="R50" s="11">
        <v>17594.0</v>
      </c>
    </row>
    <row r="51" ht="15.75" hidden="1" customHeight="1">
      <c r="A51" s="4">
        <v>50.0</v>
      </c>
      <c r="B51" s="12">
        <v>46113.0</v>
      </c>
      <c r="C51" s="10" t="s">
        <v>30</v>
      </c>
      <c r="D51" s="10">
        <v>704.6</v>
      </c>
      <c r="H51" s="10" t="s">
        <v>57</v>
      </c>
      <c r="Q51" s="4">
        <f t="shared" si="2"/>
        <v>11.8</v>
      </c>
      <c r="R51" s="11">
        <v>8314.0</v>
      </c>
    </row>
    <row r="52" ht="15.75" hidden="1" customHeight="1">
      <c r="A52" s="4">
        <v>51.0</v>
      </c>
      <c r="B52" s="12">
        <v>46113.0</v>
      </c>
      <c r="C52" s="10" t="s">
        <v>30</v>
      </c>
      <c r="D52" s="10">
        <v>1534.6</v>
      </c>
      <c r="H52" s="10" t="s">
        <v>58</v>
      </c>
      <c r="Q52" s="4">
        <f t="shared" si="2"/>
        <v>11.8</v>
      </c>
      <c r="R52" s="11">
        <v>18102.0</v>
      </c>
    </row>
    <row r="53" ht="15.75" hidden="1" customHeight="1">
      <c r="A53" s="4">
        <v>52.0</v>
      </c>
      <c r="B53" s="12">
        <v>46113.0</v>
      </c>
      <c r="C53" s="10" t="s">
        <v>23</v>
      </c>
      <c r="D53" s="10">
        <v>1252.0</v>
      </c>
      <c r="H53" s="10" t="s">
        <v>54</v>
      </c>
      <c r="Q53" s="4">
        <f t="shared" si="2"/>
        <v>8.7</v>
      </c>
      <c r="R53" s="11">
        <v>10890.0</v>
      </c>
    </row>
    <row r="54" ht="15.75" hidden="1" customHeight="1">
      <c r="A54" s="4">
        <v>53.0</v>
      </c>
      <c r="B54" s="12">
        <v>46113.0</v>
      </c>
      <c r="C54" s="10" t="s">
        <v>38</v>
      </c>
      <c r="D54" s="10">
        <v>701.0</v>
      </c>
      <c r="H54" s="10" t="s">
        <v>54</v>
      </c>
      <c r="Q54" s="4">
        <f t="shared" si="2"/>
        <v>8.85</v>
      </c>
      <c r="R54" s="11">
        <v>6203.0</v>
      </c>
    </row>
    <row r="55" ht="15.75" hidden="1" customHeight="1">
      <c r="A55" s="4">
        <v>54.0</v>
      </c>
      <c r="B55" s="12">
        <v>46113.0</v>
      </c>
      <c r="C55" s="10" t="s">
        <v>23</v>
      </c>
      <c r="D55" s="10">
        <v>477.0</v>
      </c>
      <c r="H55" s="10" t="s">
        <v>54</v>
      </c>
      <c r="Q55" s="4">
        <f t="shared" si="2"/>
        <v>10.33</v>
      </c>
      <c r="R55" s="13">
        <v>4929.0</v>
      </c>
    </row>
    <row r="56" ht="15.75" customHeight="1">
      <c r="A56" s="14">
        <v>55.0</v>
      </c>
      <c r="B56" s="15">
        <v>46116.0</v>
      </c>
      <c r="C56" s="14" t="s">
        <v>59</v>
      </c>
      <c r="D56" s="14">
        <v>2695.0</v>
      </c>
      <c r="E56" s="16"/>
      <c r="F56" s="16"/>
      <c r="G56" s="16"/>
      <c r="H56" s="14" t="s">
        <v>54</v>
      </c>
      <c r="I56" s="16"/>
      <c r="J56" s="16"/>
      <c r="K56" s="16"/>
      <c r="L56" s="16"/>
      <c r="M56" s="16"/>
      <c r="N56" s="16"/>
      <c r="O56" s="16"/>
      <c r="P56" s="16"/>
      <c r="Q56" s="16">
        <f t="shared" si="2"/>
        <v>9.44</v>
      </c>
      <c r="R56" s="17">
        <v>25440.0</v>
      </c>
    </row>
    <row r="57" ht="15.75" hidden="1" customHeight="1">
      <c r="A57" s="14">
        <v>56.0</v>
      </c>
      <c r="B57" s="15">
        <v>46116.0</v>
      </c>
      <c r="C57" s="14" t="s">
        <v>21</v>
      </c>
      <c r="D57" s="14">
        <v>1275.0</v>
      </c>
      <c r="E57" s="16"/>
      <c r="F57" s="16"/>
      <c r="G57" s="16"/>
      <c r="H57" s="14" t="s">
        <v>54</v>
      </c>
      <c r="I57" s="16"/>
      <c r="J57" s="16"/>
      <c r="K57" s="16"/>
      <c r="L57" s="16"/>
      <c r="M57" s="16"/>
      <c r="N57" s="16"/>
      <c r="O57" s="16"/>
      <c r="P57" s="16"/>
      <c r="Q57" s="16">
        <f t="shared" si="2"/>
        <v>9.44</v>
      </c>
      <c r="R57" s="17">
        <v>12036.0</v>
      </c>
    </row>
    <row r="58" ht="15.75" hidden="1" customHeight="1">
      <c r="A58" s="14">
        <v>57.0</v>
      </c>
      <c r="B58" s="15">
        <v>46116.0</v>
      </c>
      <c r="C58" s="14" t="s">
        <v>21</v>
      </c>
      <c r="D58" s="14">
        <v>1380.0</v>
      </c>
      <c r="E58" s="16"/>
      <c r="F58" s="16"/>
      <c r="G58" s="16"/>
      <c r="H58" s="14" t="s">
        <v>54</v>
      </c>
      <c r="I58" s="16"/>
      <c r="J58" s="16"/>
      <c r="K58" s="16"/>
      <c r="L58" s="16"/>
      <c r="M58" s="16"/>
      <c r="N58" s="16"/>
      <c r="O58" s="16"/>
      <c r="P58" s="16"/>
      <c r="Q58" s="16">
        <f t="shared" si="2"/>
        <v>8.26</v>
      </c>
      <c r="R58" s="17">
        <v>11398.0</v>
      </c>
    </row>
    <row r="59" ht="15.75" hidden="1" customHeight="1">
      <c r="A59" s="14">
        <v>58.0</v>
      </c>
      <c r="B59" s="15">
        <v>46116.0</v>
      </c>
      <c r="C59" s="14" t="s">
        <v>23</v>
      </c>
      <c r="D59" s="14">
        <v>1037.0</v>
      </c>
      <c r="E59" s="16"/>
      <c r="F59" s="16"/>
      <c r="G59" s="16"/>
      <c r="H59" s="14" t="s">
        <v>54</v>
      </c>
      <c r="I59" s="16"/>
      <c r="J59" s="16"/>
      <c r="K59" s="16"/>
      <c r="L59" s="16"/>
      <c r="M59" s="16"/>
      <c r="N59" s="16"/>
      <c r="O59" s="16"/>
      <c r="P59" s="16"/>
      <c r="Q59" s="16">
        <f t="shared" si="2"/>
        <v>8.26</v>
      </c>
      <c r="R59" s="17">
        <v>8565.0</v>
      </c>
    </row>
    <row r="60" ht="15.75" customHeight="1">
      <c r="A60" s="14">
        <v>59.0</v>
      </c>
      <c r="B60" s="15">
        <v>46116.0</v>
      </c>
      <c r="C60" s="14" t="s">
        <v>59</v>
      </c>
      <c r="D60" s="14">
        <v>1245.0</v>
      </c>
      <c r="E60" s="16"/>
      <c r="F60" s="16"/>
      <c r="G60" s="16"/>
      <c r="H60" s="14" t="s">
        <v>54</v>
      </c>
      <c r="I60" s="16"/>
      <c r="J60" s="16"/>
      <c r="K60" s="16"/>
      <c r="L60" s="16"/>
      <c r="M60" s="16"/>
      <c r="N60" s="16"/>
      <c r="O60" s="16"/>
      <c r="P60" s="16"/>
      <c r="Q60" s="16">
        <f t="shared" si="2"/>
        <v>9.44</v>
      </c>
      <c r="R60" s="17">
        <v>11752.0</v>
      </c>
    </row>
    <row r="61" ht="15.75" hidden="1" customHeight="1">
      <c r="A61" s="14">
        <v>60.0</v>
      </c>
      <c r="B61" s="15">
        <v>46118.0</v>
      </c>
      <c r="C61" s="14" t="s">
        <v>23</v>
      </c>
      <c r="D61" s="14">
        <v>400.0</v>
      </c>
      <c r="E61" s="16"/>
      <c r="F61" s="16"/>
      <c r="G61" s="16"/>
      <c r="H61" s="14" t="s">
        <v>54</v>
      </c>
      <c r="I61" s="16"/>
      <c r="J61" s="16"/>
      <c r="K61" s="16"/>
      <c r="L61" s="16"/>
      <c r="M61" s="16"/>
      <c r="N61" s="16"/>
      <c r="O61" s="16"/>
      <c r="P61" s="16"/>
      <c r="Q61" s="16">
        <f t="shared" si="2"/>
        <v>10.62</v>
      </c>
      <c r="R61" s="17">
        <v>4248.0</v>
      </c>
    </row>
    <row r="62" ht="15.75" hidden="1" customHeight="1">
      <c r="A62" s="14">
        <v>61.0</v>
      </c>
      <c r="B62" s="15">
        <v>46118.0</v>
      </c>
      <c r="C62" s="14" t="s">
        <v>23</v>
      </c>
      <c r="D62" s="14">
        <v>250.0</v>
      </c>
      <c r="E62" s="16"/>
      <c r="F62" s="16"/>
      <c r="G62" s="16"/>
      <c r="H62" s="14" t="s">
        <v>54</v>
      </c>
      <c r="I62" s="16"/>
      <c r="J62" s="16"/>
      <c r="K62" s="16"/>
      <c r="L62" s="16"/>
      <c r="M62" s="16"/>
      <c r="N62" s="16"/>
      <c r="O62" s="16"/>
      <c r="P62" s="16"/>
      <c r="Q62" s="16">
        <f t="shared" si="2"/>
        <v>8.26</v>
      </c>
      <c r="R62" s="17">
        <v>2064.0</v>
      </c>
    </row>
    <row r="63" ht="15.75" hidden="1" customHeight="1">
      <c r="A63" s="14">
        <v>62.0</v>
      </c>
      <c r="B63" s="15">
        <v>46118.0</v>
      </c>
      <c r="C63" s="14" t="s">
        <v>30</v>
      </c>
      <c r="D63" s="14">
        <v>396.0</v>
      </c>
      <c r="E63" s="16"/>
      <c r="F63" s="16"/>
      <c r="G63" s="16"/>
      <c r="H63" s="14" t="s">
        <v>54</v>
      </c>
      <c r="I63" s="16"/>
      <c r="J63" s="16"/>
      <c r="K63" s="16"/>
      <c r="L63" s="16"/>
      <c r="M63" s="16"/>
      <c r="N63" s="16"/>
      <c r="O63" s="16"/>
      <c r="P63" s="16"/>
      <c r="Q63" s="16">
        <f t="shared" si="2"/>
        <v>11.8</v>
      </c>
      <c r="R63" s="17">
        <v>4672.0</v>
      </c>
    </row>
    <row r="64" ht="15.75" hidden="1" customHeight="1">
      <c r="A64" s="14">
        <v>63.0</v>
      </c>
      <c r="B64" s="15">
        <v>46118.0</v>
      </c>
      <c r="C64" s="14" t="s">
        <v>38</v>
      </c>
      <c r="D64" s="14">
        <v>1112.0</v>
      </c>
      <c r="E64" s="16"/>
      <c r="F64" s="16"/>
      <c r="G64" s="16"/>
      <c r="H64" s="14" t="s">
        <v>54</v>
      </c>
      <c r="I64" s="16"/>
      <c r="J64" s="16"/>
      <c r="K64" s="16"/>
      <c r="L64" s="16"/>
      <c r="M64" s="16"/>
      <c r="N64" s="16"/>
      <c r="O64" s="16"/>
      <c r="P64" s="16"/>
      <c r="Q64" s="16">
        <f t="shared" si="2"/>
        <v>8.85</v>
      </c>
      <c r="R64" s="17">
        <v>9842.0</v>
      </c>
    </row>
    <row r="65" ht="15.75" hidden="1" customHeight="1">
      <c r="A65" s="14">
        <v>64.0</v>
      </c>
      <c r="B65" s="15">
        <v>46118.0</v>
      </c>
      <c r="C65" s="14" t="s">
        <v>23</v>
      </c>
      <c r="D65" s="14">
        <v>1218.0</v>
      </c>
      <c r="E65" s="16"/>
      <c r="F65" s="16"/>
      <c r="G65" s="16"/>
      <c r="H65" s="14" t="s">
        <v>54</v>
      </c>
      <c r="I65" s="16"/>
      <c r="J65" s="16"/>
      <c r="K65" s="16"/>
      <c r="L65" s="16"/>
      <c r="M65" s="16"/>
      <c r="N65" s="16"/>
      <c r="O65" s="16"/>
      <c r="P65" s="16"/>
      <c r="Q65" s="16">
        <f t="shared" si="2"/>
        <v>10.62</v>
      </c>
      <c r="R65" s="17">
        <v>12934.0</v>
      </c>
    </row>
    <row r="66" ht="15.75" hidden="1" customHeight="1">
      <c r="A66" s="14">
        <v>65.0</v>
      </c>
      <c r="B66" s="15">
        <v>46119.0</v>
      </c>
      <c r="C66" s="14" t="s">
        <v>42</v>
      </c>
      <c r="D66" s="14">
        <v>3050.0</v>
      </c>
      <c r="E66" s="16"/>
      <c r="F66" s="16"/>
      <c r="G66" s="16"/>
      <c r="H66" s="14" t="s">
        <v>54</v>
      </c>
      <c r="I66" s="16"/>
      <c r="J66" s="16"/>
      <c r="K66" s="16"/>
      <c r="L66" s="16"/>
      <c r="M66" s="16"/>
      <c r="N66" s="16"/>
      <c r="O66" s="16"/>
      <c r="P66" s="16"/>
      <c r="Q66" s="16">
        <f t="shared" si="2"/>
        <v>10.03</v>
      </c>
      <c r="R66" s="17">
        <v>30591.0</v>
      </c>
    </row>
    <row r="67" ht="15.75" hidden="1" customHeight="1">
      <c r="A67" s="14">
        <v>66.0</v>
      </c>
      <c r="B67" s="15">
        <v>46119.0</v>
      </c>
      <c r="C67" s="14" t="s">
        <v>53</v>
      </c>
      <c r="D67" s="14">
        <v>1492.0</v>
      </c>
      <c r="E67" s="16"/>
      <c r="F67" s="16"/>
      <c r="G67" s="16"/>
      <c r="H67" s="14" t="s">
        <v>54</v>
      </c>
      <c r="I67" s="16"/>
      <c r="J67" s="16"/>
      <c r="K67" s="16"/>
      <c r="L67" s="16"/>
      <c r="M67" s="16"/>
      <c r="N67" s="16"/>
      <c r="O67" s="16"/>
      <c r="P67" s="16"/>
      <c r="Q67" s="16">
        <f t="shared" si="2"/>
        <v>11.8</v>
      </c>
      <c r="R67" s="17">
        <v>17606.0</v>
      </c>
    </row>
    <row r="68" ht="15.75" hidden="1" customHeight="1">
      <c r="A68" s="14">
        <v>67.0</v>
      </c>
      <c r="B68" s="15">
        <v>46123.0</v>
      </c>
      <c r="C68" s="14" t="s">
        <v>38</v>
      </c>
      <c r="D68" s="14">
        <v>3120.0</v>
      </c>
      <c r="E68" s="16"/>
      <c r="F68" s="16"/>
      <c r="G68" s="16"/>
      <c r="H68" s="14" t="s">
        <v>54</v>
      </c>
      <c r="I68" s="16"/>
      <c r="J68" s="16"/>
      <c r="K68" s="16"/>
      <c r="L68" s="16"/>
      <c r="M68" s="16"/>
      <c r="N68" s="16"/>
      <c r="O68" s="16"/>
      <c r="P68" s="16"/>
      <c r="Q68" s="16">
        <f t="shared" si="2"/>
        <v>5.9</v>
      </c>
      <c r="R68" s="17">
        <v>18408.0</v>
      </c>
    </row>
    <row r="69" ht="15.75" hidden="1" customHeight="1">
      <c r="A69" s="14">
        <v>68.0</v>
      </c>
      <c r="B69" s="15">
        <v>46123.0</v>
      </c>
      <c r="C69" s="14" t="s">
        <v>23</v>
      </c>
      <c r="D69" s="14">
        <v>1688.0</v>
      </c>
      <c r="E69" s="16"/>
      <c r="F69" s="16"/>
      <c r="G69" s="16"/>
      <c r="H69" s="14" t="s">
        <v>54</v>
      </c>
      <c r="I69" s="16"/>
      <c r="J69" s="16"/>
      <c r="K69" s="16"/>
      <c r="L69" s="16"/>
      <c r="M69" s="16"/>
      <c r="N69" s="16"/>
      <c r="O69" s="16"/>
      <c r="P69" s="16"/>
      <c r="Q69" s="16">
        <f t="shared" si="2"/>
        <v>8.26</v>
      </c>
      <c r="R69" s="17">
        <v>13942.0</v>
      </c>
    </row>
    <row r="70" ht="15.75" hidden="1" customHeight="1">
      <c r="A70" s="14">
        <v>69.0</v>
      </c>
      <c r="B70" s="15">
        <v>46123.0</v>
      </c>
      <c r="C70" s="14" t="s">
        <v>23</v>
      </c>
      <c r="D70" s="14">
        <v>2706.0</v>
      </c>
      <c r="E70" s="16"/>
      <c r="F70" s="16"/>
      <c r="G70" s="16"/>
      <c r="H70" s="14" t="s">
        <v>54</v>
      </c>
      <c r="I70" s="16"/>
      <c r="J70" s="16"/>
      <c r="K70" s="16"/>
      <c r="L70" s="16"/>
      <c r="M70" s="16"/>
      <c r="N70" s="16"/>
      <c r="O70" s="16"/>
      <c r="P70" s="16"/>
      <c r="Q70" s="16">
        <f t="shared" si="2"/>
        <v>8.26</v>
      </c>
      <c r="R70" s="17">
        <v>22352.0</v>
      </c>
    </row>
    <row r="71" ht="15.75" hidden="1" customHeight="1">
      <c r="A71" s="14">
        <v>70.0</v>
      </c>
      <c r="B71" s="15">
        <v>46123.0</v>
      </c>
      <c r="C71" s="14" t="s">
        <v>27</v>
      </c>
      <c r="D71" s="14">
        <v>1000.0</v>
      </c>
      <c r="E71" s="16"/>
      <c r="F71" s="16"/>
      <c r="G71" s="16"/>
      <c r="H71" s="14" t="s">
        <v>54</v>
      </c>
      <c r="I71" s="16"/>
      <c r="J71" s="16"/>
      <c r="K71" s="16"/>
      <c r="L71" s="16"/>
      <c r="M71" s="16"/>
      <c r="N71" s="16"/>
      <c r="O71" s="16"/>
      <c r="P71" s="16"/>
      <c r="Q71" s="16">
        <f t="shared" si="2"/>
        <v>8.85</v>
      </c>
      <c r="R71" s="17">
        <v>8850.0</v>
      </c>
    </row>
    <row r="72" ht="15.75" hidden="1" customHeight="1">
      <c r="A72" s="14">
        <v>71.0</v>
      </c>
      <c r="B72" s="15">
        <v>46123.0</v>
      </c>
      <c r="C72" s="14" t="s">
        <v>53</v>
      </c>
      <c r="D72" s="14">
        <v>2928.5</v>
      </c>
      <c r="E72" s="16"/>
      <c r="F72" s="16"/>
      <c r="G72" s="16"/>
      <c r="H72" s="14" t="s">
        <v>54</v>
      </c>
      <c r="I72" s="16"/>
      <c r="J72" s="16"/>
      <c r="K72" s="16"/>
      <c r="L72" s="16"/>
      <c r="M72" s="16"/>
      <c r="N72" s="16"/>
      <c r="O72" s="16"/>
      <c r="P72" s="16"/>
      <c r="Q72" s="16">
        <f t="shared" si="2"/>
        <v>11.8</v>
      </c>
      <c r="R72" s="17">
        <v>34557.0</v>
      </c>
    </row>
    <row r="73" ht="15.75" customHeight="1">
      <c r="A73" s="14">
        <v>72.0</v>
      </c>
      <c r="B73" s="15">
        <v>46123.0</v>
      </c>
      <c r="C73" s="14" t="s">
        <v>59</v>
      </c>
      <c r="D73" s="14">
        <v>1150.0</v>
      </c>
      <c r="E73" s="16"/>
      <c r="F73" s="16"/>
      <c r="G73" s="16"/>
      <c r="H73" s="14" t="s">
        <v>54</v>
      </c>
      <c r="I73" s="16"/>
      <c r="J73" s="16"/>
      <c r="K73" s="16"/>
      <c r="L73" s="16"/>
      <c r="M73" s="16"/>
      <c r="N73" s="16"/>
      <c r="O73" s="16"/>
      <c r="P73" s="16"/>
      <c r="Q73" s="16">
        <f t="shared" si="2"/>
        <v>11.8</v>
      </c>
      <c r="R73" s="17">
        <v>13570.0</v>
      </c>
      <c r="U73" s="3"/>
    </row>
    <row r="74" ht="15.75" hidden="1" customHeight="1">
      <c r="A74" s="14">
        <v>73.0</v>
      </c>
      <c r="B74" s="15">
        <v>46125.0</v>
      </c>
      <c r="C74" s="14" t="s">
        <v>38</v>
      </c>
      <c r="D74" s="14">
        <v>2040.0</v>
      </c>
      <c r="E74" s="16"/>
      <c r="F74" s="16"/>
      <c r="G74" s="16"/>
      <c r="H74" s="14" t="s">
        <v>54</v>
      </c>
      <c r="I74" s="16"/>
      <c r="J74" s="16"/>
      <c r="K74" s="16"/>
      <c r="L74" s="16"/>
      <c r="M74" s="16"/>
      <c r="N74" s="16"/>
      <c r="O74" s="16"/>
      <c r="P74" s="16"/>
      <c r="Q74" s="16">
        <f t="shared" si="2"/>
        <v>8.85</v>
      </c>
      <c r="R74" s="17">
        <v>18054.0</v>
      </c>
    </row>
    <row r="75" ht="15.75" hidden="1" customHeight="1">
      <c r="A75" s="14">
        <v>74.0</v>
      </c>
      <c r="B75" s="15">
        <v>46125.0</v>
      </c>
      <c r="C75" s="14" t="s">
        <v>23</v>
      </c>
      <c r="D75" s="14">
        <v>618.0</v>
      </c>
      <c r="E75" s="16"/>
      <c r="F75" s="16"/>
      <c r="G75" s="16"/>
      <c r="H75" s="14" t="s">
        <v>54</v>
      </c>
      <c r="I75" s="16"/>
      <c r="J75" s="16"/>
      <c r="K75" s="16"/>
      <c r="L75" s="16"/>
      <c r="M75" s="16"/>
      <c r="N75" s="16"/>
      <c r="O75" s="16"/>
      <c r="P75" s="16"/>
      <c r="Q75" s="16">
        <f t="shared" si="2"/>
        <v>10.62</v>
      </c>
      <c r="R75" s="17">
        <v>6562.0</v>
      </c>
    </row>
    <row r="76" ht="15.75" hidden="1" customHeight="1">
      <c r="A76" s="14">
        <v>75.0</v>
      </c>
      <c r="B76" s="15">
        <v>46125.0</v>
      </c>
      <c r="C76" s="14" t="s">
        <v>23</v>
      </c>
      <c r="D76" s="14">
        <v>953.0</v>
      </c>
      <c r="E76" s="16"/>
      <c r="F76" s="16"/>
      <c r="G76" s="16"/>
      <c r="H76" s="14" t="s">
        <v>54</v>
      </c>
      <c r="I76" s="16"/>
      <c r="J76" s="16"/>
      <c r="K76" s="16"/>
      <c r="L76" s="16"/>
      <c r="M76" s="16"/>
      <c r="N76" s="16"/>
      <c r="O76" s="16"/>
      <c r="P76" s="16"/>
      <c r="Q76" s="16">
        <f t="shared" si="2"/>
        <v>9.37</v>
      </c>
      <c r="R76" s="17">
        <v>8933.0</v>
      </c>
    </row>
    <row r="77" ht="15.75" hidden="1" customHeight="1">
      <c r="A77" s="14">
        <v>76.0</v>
      </c>
      <c r="B77" s="15">
        <v>46125.0</v>
      </c>
      <c r="C77" s="14" t="s">
        <v>42</v>
      </c>
      <c r="D77" s="14">
        <v>2000.0</v>
      </c>
      <c r="E77" s="16"/>
      <c r="F77" s="16"/>
      <c r="G77" s="16"/>
      <c r="H77" s="14" t="s">
        <v>54</v>
      </c>
      <c r="I77" s="16"/>
      <c r="J77" s="16"/>
      <c r="K77" s="16"/>
      <c r="L77" s="16"/>
      <c r="M77" s="16"/>
      <c r="N77" s="16"/>
      <c r="O77" s="16"/>
      <c r="P77" s="16"/>
      <c r="Q77" s="16">
        <f t="shared" si="2"/>
        <v>10.03</v>
      </c>
      <c r="R77" s="17">
        <v>20060.0</v>
      </c>
    </row>
    <row r="78" ht="15.75" hidden="1" customHeight="1">
      <c r="A78" s="14">
        <v>77.0</v>
      </c>
      <c r="B78" s="15">
        <v>46125.0</v>
      </c>
      <c r="C78" s="14" t="s">
        <v>23</v>
      </c>
      <c r="D78" s="14">
        <v>1045.0</v>
      </c>
      <c r="E78" s="16"/>
      <c r="F78" s="16"/>
      <c r="G78" s="16"/>
      <c r="H78" s="14" t="s">
        <v>54</v>
      </c>
      <c r="I78" s="16"/>
      <c r="J78" s="16"/>
      <c r="K78" s="16"/>
      <c r="L78" s="16"/>
      <c r="M78" s="16"/>
      <c r="N78" s="16"/>
      <c r="O78" s="16"/>
      <c r="P78" s="16"/>
      <c r="Q78" s="16">
        <f t="shared" si="2"/>
        <v>8.26</v>
      </c>
      <c r="R78" s="17">
        <v>8631.0</v>
      </c>
    </row>
    <row r="79" ht="15.75" hidden="1" customHeight="1">
      <c r="A79" s="14">
        <v>78.0</v>
      </c>
      <c r="B79" s="15">
        <v>46128.0</v>
      </c>
      <c r="C79" s="14" t="s">
        <v>38</v>
      </c>
      <c r="D79" s="14">
        <v>3230.0</v>
      </c>
      <c r="E79" s="16"/>
      <c r="F79" s="16"/>
      <c r="G79" s="16"/>
      <c r="H79" s="14" t="s">
        <v>54</v>
      </c>
      <c r="I79" s="16"/>
      <c r="J79" s="16"/>
      <c r="K79" s="16"/>
      <c r="L79" s="16"/>
      <c r="M79" s="16"/>
      <c r="N79" s="16"/>
      <c r="O79" s="16"/>
      <c r="P79" s="16"/>
      <c r="Q79" s="16">
        <f t="shared" si="2"/>
        <v>8.85</v>
      </c>
      <c r="R79" s="17">
        <v>28585.0</v>
      </c>
    </row>
    <row r="80" ht="15.75" hidden="1" customHeight="1">
      <c r="A80" s="14">
        <v>79.0</v>
      </c>
      <c r="B80" s="15">
        <v>46128.0</v>
      </c>
      <c r="C80" s="14" t="s">
        <v>23</v>
      </c>
      <c r="D80" s="14">
        <v>2071.0</v>
      </c>
      <c r="E80" s="16"/>
      <c r="F80" s="16"/>
      <c r="G80" s="16"/>
      <c r="H80" s="14" t="s">
        <v>54</v>
      </c>
      <c r="I80" s="16"/>
      <c r="J80" s="16"/>
      <c r="K80" s="16"/>
      <c r="L80" s="16"/>
      <c r="M80" s="16"/>
      <c r="N80" s="16"/>
      <c r="O80" s="16"/>
      <c r="P80" s="16"/>
      <c r="Q80" s="16">
        <f t="shared" si="2"/>
        <v>10.62</v>
      </c>
      <c r="R80" s="17">
        <v>21993.0</v>
      </c>
    </row>
    <row r="81" ht="15.75" hidden="1" customHeight="1">
      <c r="A81" s="14">
        <v>80.0</v>
      </c>
      <c r="B81" s="15">
        <v>46128.0</v>
      </c>
      <c r="C81" s="14" t="s">
        <v>55</v>
      </c>
      <c r="D81" s="14">
        <v>527.0</v>
      </c>
      <c r="E81" s="16"/>
      <c r="F81" s="16"/>
      <c r="G81" s="16"/>
      <c r="H81" s="14" t="s">
        <v>54</v>
      </c>
      <c r="I81" s="16"/>
      <c r="J81" s="16"/>
      <c r="K81" s="16"/>
      <c r="L81" s="16"/>
      <c r="M81" s="16"/>
      <c r="N81" s="16"/>
      <c r="O81" s="16"/>
      <c r="P81" s="16"/>
      <c r="Q81" s="16">
        <f t="shared" si="2"/>
        <v>11.8</v>
      </c>
      <c r="R81" s="17">
        <v>6218.0</v>
      </c>
    </row>
    <row r="82" ht="15.75" hidden="1" customHeight="1">
      <c r="A82" s="14">
        <v>81.0</v>
      </c>
      <c r="B82" s="15">
        <v>46128.0</v>
      </c>
      <c r="C82" s="14" t="s">
        <v>60</v>
      </c>
      <c r="D82" s="14">
        <v>704.0</v>
      </c>
      <c r="E82" s="16"/>
      <c r="F82" s="16"/>
      <c r="G82" s="16"/>
      <c r="H82" s="14" t="s">
        <v>54</v>
      </c>
      <c r="I82" s="16"/>
      <c r="J82" s="16"/>
      <c r="K82" s="16"/>
      <c r="L82" s="16"/>
      <c r="M82" s="16"/>
      <c r="N82" s="16"/>
      <c r="O82" s="16"/>
      <c r="P82" s="16"/>
      <c r="Q82" s="16">
        <f t="shared" si="2"/>
        <v>7.01</v>
      </c>
      <c r="R82" s="17">
        <v>4932.0</v>
      </c>
    </row>
    <row r="83" ht="15.75" hidden="1" customHeight="1">
      <c r="A83" s="14">
        <v>82.0</v>
      </c>
      <c r="B83" s="15">
        <v>46128.0</v>
      </c>
      <c r="C83" s="14" t="s">
        <v>55</v>
      </c>
      <c r="D83" s="14">
        <v>482.0</v>
      </c>
      <c r="E83" s="16"/>
      <c r="F83" s="16"/>
      <c r="G83" s="16"/>
      <c r="H83" s="14" t="s">
        <v>54</v>
      </c>
      <c r="I83" s="16"/>
      <c r="J83" s="16"/>
      <c r="K83" s="16"/>
      <c r="L83" s="16"/>
      <c r="M83" s="16"/>
      <c r="N83" s="16"/>
      <c r="O83" s="16"/>
      <c r="P83" s="16"/>
      <c r="Q83" s="16">
        <f t="shared" si="2"/>
        <v>11.8</v>
      </c>
      <c r="R83" s="17">
        <v>5688.0</v>
      </c>
    </row>
    <row r="84" ht="15.75" hidden="1" customHeight="1">
      <c r="A84" s="14">
        <v>83.0</v>
      </c>
      <c r="B84" s="15">
        <v>46128.0</v>
      </c>
      <c r="C84" s="14" t="s">
        <v>60</v>
      </c>
      <c r="D84" s="14">
        <v>768.0</v>
      </c>
      <c r="E84" s="16"/>
      <c r="F84" s="16"/>
      <c r="G84" s="16"/>
      <c r="H84" s="14" t="s">
        <v>54</v>
      </c>
      <c r="I84" s="16"/>
      <c r="J84" s="16"/>
      <c r="K84" s="16"/>
      <c r="L84" s="16"/>
      <c r="M84" s="16"/>
      <c r="N84" s="16"/>
      <c r="O84" s="16"/>
      <c r="P84" s="16"/>
      <c r="Q84" s="16">
        <f t="shared" si="2"/>
        <v>7.01</v>
      </c>
      <c r="R84" s="17">
        <v>5380.0</v>
      </c>
    </row>
    <row r="85" ht="15.75" hidden="1" customHeight="1">
      <c r="A85" s="14">
        <v>84.0</v>
      </c>
      <c r="B85" s="15">
        <v>46130.0</v>
      </c>
      <c r="C85" s="14" t="s">
        <v>38</v>
      </c>
      <c r="D85" s="14">
        <v>3069.0</v>
      </c>
      <c r="E85" s="16"/>
      <c r="F85" s="16"/>
      <c r="G85" s="16"/>
      <c r="H85" s="14" t="s">
        <v>54</v>
      </c>
      <c r="I85" s="16"/>
      <c r="J85" s="16"/>
      <c r="K85" s="16"/>
      <c r="L85" s="16"/>
      <c r="M85" s="16"/>
      <c r="N85" s="16"/>
      <c r="O85" s="16"/>
      <c r="P85" s="16"/>
      <c r="Q85" s="16">
        <f t="shared" si="2"/>
        <v>7.97</v>
      </c>
      <c r="R85" s="17">
        <v>24469.0</v>
      </c>
    </row>
    <row r="86" ht="15.75" hidden="1" customHeight="1">
      <c r="A86" s="14">
        <v>85.0</v>
      </c>
      <c r="B86" s="15">
        <v>46130.0</v>
      </c>
      <c r="C86" s="14" t="s">
        <v>38</v>
      </c>
      <c r="D86" s="14">
        <v>3546.0</v>
      </c>
      <c r="E86" s="16"/>
      <c r="F86" s="16"/>
      <c r="G86" s="16"/>
      <c r="H86" s="14" t="s">
        <v>54</v>
      </c>
      <c r="I86" s="16"/>
      <c r="J86" s="16"/>
      <c r="K86" s="16"/>
      <c r="L86" s="16"/>
      <c r="M86" s="16"/>
      <c r="N86" s="16"/>
      <c r="O86" s="16"/>
      <c r="P86" s="16"/>
      <c r="Q86" s="16">
        <f t="shared" si="2"/>
        <v>8.85</v>
      </c>
      <c r="R86" s="17">
        <v>31381.0</v>
      </c>
    </row>
    <row r="87" ht="15.75" hidden="1" customHeight="1">
      <c r="A87" s="14">
        <v>86.0</v>
      </c>
      <c r="B87" s="15">
        <v>46130.0</v>
      </c>
      <c r="C87" s="14" t="s">
        <v>61</v>
      </c>
      <c r="D87" s="14">
        <v>9592.0</v>
      </c>
      <c r="E87" s="16"/>
      <c r="F87" s="16"/>
      <c r="G87" s="16"/>
      <c r="H87" s="14" t="s">
        <v>54</v>
      </c>
      <c r="I87" s="16"/>
      <c r="J87" s="16"/>
      <c r="K87" s="16"/>
      <c r="L87" s="16"/>
      <c r="M87" s="16"/>
      <c r="N87" s="16"/>
      <c r="O87" s="16"/>
      <c r="P87" s="16"/>
      <c r="Q87" s="16">
        <f t="shared" si="2"/>
        <v>14.75</v>
      </c>
      <c r="R87" s="17">
        <v>141482.0</v>
      </c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dataValidations>
    <dataValidation type="custom" allowBlank="1" showDropDown="1" sqref="R2:R87">
      <formula1>AND(ISNUMBER(R2),(NOT(OR(NOT(ISERROR(DATEVALUE(R2))), AND(ISNUMBER(R2), LEFT(CELL("format", R2))="D")))))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16.71"/>
    <col customWidth="1" min="2" max="2" width="12.14"/>
    <col customWidth="1" min="3" max="3" width="26.71"/>
  </cols>
  <sheetData>
    <row r="1"/>
    <row r="2"/>
    <row r="3"/>
    <row r="4"/>
    <row r="5"/>
    <row r="6"/>
    <row r="7"/>
    <row r="8"/>
    <row r="9"/>
    <row r="10"/>
    <row r="11"/>
    <row r="12"/>
    <row r="13"/>
    <row r="25">
      <c r="K25" s="3"/>
    </row>
  </sheetData>
  <autoFilter ref="$A$1:$C$15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2" width="10.14"/>
    <col customWidth="1" min="3" max="3" width="49.71"/>
    <col customWidth="1" min="4" max="4" width="24.0"/>
    <col customWidth="1" min="5" max="5" width="12.0"/>
    <col customWidth="1" min="6" max="6" width="15.0"/>
    <col customWidth="1" min="8" max="8" width="9.43"/>
  </cols>
  <sheetData>
    <row r="1" ht="22.5" customHeight="1">
      <c r="A1" s="19" t="s">
        <v>1</v>
      </c>
      <c r="B1" s="20" t="s">
        <v>65</v>
      </c>
      <c r="C1" s="19" t="s">
        <v>2</v>
      </c>
      <c r="D1" s="19" t="s">
        <v>66</v>
      </c>
      <c r="E1" s="21" t="s">
        <v>67</v>
      </c>
      <c r="F1" s="21" t="s">
        <v>68</v>
      </c>
      <c r="G1" s="21" t="s">
        <v>69</v>
      </c>
      <c r="I1" s="22"/>
    </row>
    <row r="2" ht="22.5" customHeight="1">
      <c r="A2" s="23">
        <v>45748.0</v>
      </c>
      <c r="B2" s="24">
        <f t="shared" ref="B2:B90" si="1">YEAR(A2)</f>
        <v>2025</v>
      </c>
      <c r="C2" s="25" t="s">
        <v>70</v>
      </c>
      <c r="D2" s="24" t="s">
        <v>71</v>
      </c>
      <c r="E2" s="26">
        <v>0.0</v>
      </c>
      <c r="F2" s="26">
        <v>5024.0</v>
      </c>
      <c r="G2" s="26">
        <v>5024.0</v>
      </c>
      <c r="I2" s="22"/>
    </row>
    <row r="3" ht="22.5" customHeight="1">
      <c r="A3" s="27">
        <v>45876.0</v>
      </c>
      <c r="B3" s="24">
        <f t="shared" si="1"/>
        <v>2025</v>
      </c>
      <c r="C3" s="28" t="s">
        <v>70</v>
      </c>
      <c r="D3" s="29" t="s">
        <v>72</v>
      </c>
      <c r="E3" s="30">
        <v>0.0</v>
      </c>
      <c r="F3" s="30">
        <v>1008.0</v>
      </c>
      <c r="G3" s="30">
        <v>6032.0</v>
      </c>
      <c r="I3" s="31"/>
    </row>
    <row r="4" ht="22.5" customHeight="1">
      <c r="A4" s="32">
        <v>46099.0</v>
      </c>
      <c r="B4" s="24">
        <f t="shared" si="1"/>
        <v>2026</v>
      </c>
      <c r="C4" s="25" t="s">
        <v>70</v>
      </c>
      <c r="D4" s="24" t="s">
        <v>73</v>
      </c>
      <c r="E4" s="26">
        <v>0.0</v>
      </c>
      <c r="F4" s="26">
        <v>18230.0</v>
      </c>
      <c r="G4" s="26">
        <v>24262.0</v>
      </c>
      <c r="I4" s="31"/>
    </row>
    <row r="5" ht="22.5" customHeight="1">
      <c r="A5" s="33">
        <v>46102.0</v>
      </c>
      <c r="B5" s="24">
        <f t="shared" si="1"/>
        <v>2026</v>
      </c>
      <c r="C5" s="28" t="s">
        <v>70</v>
      </c>
      <c r="D5" s="29" t="s">
        <v>74</v>
      </c>
      <c r="E5" s="30">
        <v>0.0</v>
      </c>
      <c r="F5" s="30">
        <v>21298.0</v>
      </c>
      <c r="G5" s="30">
        <v>45560.0</v>
      </c>
      <c r="I5" s="31"/>
    </row>
    <row r="6" ht="22.5" customHeight="1">
      <c r="A6" s="32">
        <v>46106.0</v>
      </c>
      <c r="B6" s="24">
        <f t="shared" si="1"/>
        <v>2026</v>
      </c>
      <c r="C6" s="25" t="s">
        <v>70</v>
      </c>
      <c r="D6" s="24" t="s">
        <v>75</v>
      </c>
      <c r="E6" s="26">
        <v>0.0</v>
      </c>
      <c r="F6" s="26">
        <v>17351.0</v>
      </c>
      <c r="G6" s="26">
        <v>62911.0</v>
      </c>
      <c r="I6" s="31"/>
    </row>
    <row r="7" ht="22.5" customHeight="1">
      <c r="A7" s="33">
        <v>46111.0</v>
      </c>
      <c r="B7" s="24">
        <f t="shared" si="1"/>
        <v>2026</v>
      </c>
      <c r="C7" s="28" t="s">
        <v>70</v>
      </c>
      <c r="D7" s="29" t="s">
        <v>76</v>
      </c>
      <c r="E7" s="30">
        <v>0.0</v>
      </c>
      <c r="F7" s="30">
        <v>13219.0</v>
      </c>
      <c r="G7" s="30">
        <v>76130.0</v>
      </c>
      <c r="I7" s="31"/>
    </row>
    <row r="8" ht="22.5" customHeight="1">
      <c r="A8" s="32">
        <v>45748.0</v>
      </c>
      <c r="B8" s="24">
        <f t="shared" si="1"/>
        <v>2025</v>
      </c>
      <c r="C8" s="25" t="s">
        <v>77</v>
      </c>
      <c r="D8" s="24" t="s">
        <v>71</v>
      </c>
      <c r="E8" s="26">
        <v>0.0</v>
      </c>
      <c r="F8" s="26">
        <v>39788.0</v>
      </c>
      <c r="G8" s="26">
        <v>39788.0</v>
      </c>
      <c r="I8" s="31"/>
    </row>
    <row r="9" ht="22.5" customHeight="1">
      <c r="A9" s="27">
        <v>45754.0</v>
      </c>
      <c r="B9" s="24">
        <f t="shared" si="1"/>
        <v>2025</v>
      </c>
      <c r="C9" s="28" t="s">
        <v>77</v>
      </c>
      <c r="D9" s="29" t="s">
        <v>78</v>
      </c>
      <c r="E9" s="30">
        <v>19471.0</v>
      </c>
      <c r="F9" s="30">
        <v>0.0</v>
      </c>
      <c r="G9" s="30">
        <v>20317.0</v>
      </c>
      <c r="I9" s="31"/>
    </row>
    <row r="10" ht="22.5" customHeight="1">
      <c r="A10" s="32">
        <v>45798.0</v>
      </c>
      <c r="B10" s="24">
        <f t="shared" si="1"/>
        <v>2025</v>
      </c>
      <c r="C10" s="25" t="s">
        <v>77</v>
      </c>
      <c r="D10" s="24" t="s">
        <v>79</v>
      </c>
      <c r="E10" s="26">
        <v>0.0</v>
      </c>
      <c r="F10" s="26">
        <v>15662.0</v>
      </c>
      <c r="G10" s="26">
        <v>35979.0</v>
      </c>
      <c r="I10" s="31"/>
    </row>
    <row r="11" ht="22.5" customHeight="1">
      <c r="A11" s="27">
        <v>45802.0</v>
      </c>
      <c r="B11" s="24">
        <f t="shared" si="1"/>
        <v>2025</v>
      </c>
      <c r="C11" s="28" t="s">
        <v>77</v>
      </c>
      <c r="D11" s="29" t="s">
        <v>80</v>
      </c>
      <c r="E11" s="30">
        <v>15000.0</v>
      </c>
      <c r="F11" s="30">
        <v>0.0</v>
      </c>
      <c r="G11" s="30">
        <v>20979.0</v>
      </c>
      <c r="I11" s="31"/>
    </row>
    <row r="12" ht="22.5" customHeight="1">
      <c r="A12" s="32">
        <v>45802.0</v>
      </c>
      <c r="B12" s="24">
        <f t="shared" si="1"/>
        <v>2025</v>
      </c>
      <c r="C12" s="25" t="s">
        <v>77</v>
      </c>
      <c r="D12" s="24" t="s">
        <v>80</v>
      </c>
      <c r="E12" s="26">
        <v>10000.0</v>
      </c>
      <c r="F12" s="26">
        <v>0.0</v>
      </c>
      <c r="G12" s="26">
        <v>10979.0</v>
      </c>
      <c r="I12" s="31"/>
    </row>
    <row r="13" ht="22.5" customHeight="1">
      <c r="A13" s="33">
        <v>45904.0</v>
      </c>
      <c r="B13" s="24">
        <f t="shared" si="1"/>
        <v>2025</v>
      </c>
      <c r="C13" s="28" t="s">
        <v>77</v>
      </c>
      <c r="D13" s="29" t="s">
        <v>81</v>
      </c>
      <c r="E13" s="30">
        <v>0.0</v>
      </c>
      <c r="F13" s="30">
        <v>33324.0</v>
      </c>
      <c r="G13" s="30">
        <v>44303.0</v>
      </c>
      <c r="I13" s="31"/>
    </row>
    <row r="14" ht="22.5" customHeight="1">
      <c r="A14" s="32">
        <v>45905.0</v>
      </c>
      <c r="B14" s="24">
        <f t="shared" si="1"/>
        <v>2025</v>
      </c>
      <c r="C14" s="25" t="s">
        <v>77</v>
      </c>
      <c r="D14" s="24" t="s">
        <v>82</v>
      </c>
      <c r="E14" s="26">
        <v>44293.0</v>
      </c>
      <c r="F14" s="26">
        <v>0.0</v>
      </c>
      <c r="G14" s="26">
        <v>10.0</v>
      </c>
      <c r="I14" s="31"/>
    </row>
    <row r="15" ht="22.5" customHeight="1">
      <c r="A15" s="33">
        <v>45905.0</v>
      </c>
      <c r="B15" s="24">
        <f t="shared" si="1"/>
        <v>2025</v>
      </c>
      <c r="C15" s="28" t="s">
        <v>77</v>
      </c>
      <c r="D15" s="29" t="s">
        <v>83</v>
      </c>
      <c r="E15" s="30">
        <v>10.0</v>
      </c>
      <c r="F15" s="30">
        <v>0.0</v>
      </c>
      <c r="G15" s="30">
        <v>0.0</v>
      </c>
      <c r="I15" s="31"/>
    </row>
    <row r="16" ht="22.5" customHeight="1">
      <c r="A16" s="32">
        <v>45941.0</v>
      </c>
      <c r="B16" s="24">
        <f t="shared" si="1"/>
        <v>2025</v>
      </c>
      <c r="C16" s="25" t="s">
        <v>77</v>
      </c>
      <c r="D16" s="24" t="s">
        <v>84</v>
      </c>
      <c r="E16" s="26">
        <v>0.0</v>
      </c>
      <c r="F16" s="26">
        <v>23092.0</v>
      </c>
      <c r="G16" s="26">
        <v>23092.0</v>
      </c>
      <c r="I16" s="31"/>
    </row>
    <row r="17" ht="22.5" customHeight="1">
      <c r="A17" s="33">
        <v>45944.0</v>
      </c>
      <c r="B17" s="24">
        <f t="shared" si="1"/>
        <v>2025</v>
      </c>
      <c r="C17" s="28" t="s">
        <v>77</v>
      </c>
      <c r="D17" s="29" t="s">
        <v>80</v>
      </c>
      <c r="E17" s="30">
        <v>23092.0</v>
      </c>
      <c r="F17" s="30">
        <v>0.0</v>
      </c>
      <c r="G17" s="30">
        <v>0.0</v>
      </c>
      <c r="I17" s="31"/>
    </row>
    <row r="18" ht="22.5" customHeight="1">
      <c r="A18" s="32">
        <v>46010.0</v>
      </c>
      <c r="B18" s="24">
        <f t="shared" si="1"/>
        <v>2025</v>
      </c>
      <c r="C18" s="25" t="s">
        <v>77</v>
      </c>
      <c r="D18" s="24" t="s">
        <v>85</v>
      </c>
      <c r="E18" s="26">
        <v>0.0</v>
      </c>
      <c r="F18" s="26">
        <v>26063.0</v>
      </c>
      <c r="G18" s="26">
        <v>26063.0</v>
      </c>
      <c r="I18" s="31"/>
    </row>
    <row r="19" ht="22.5" customHeight="1">
      <c r="A19" s="33">
        <v>46028.0</v>
      </c>
      <c r="B19" s="24">
        <f t="shared" si="1"/>
        <v>2026</v>
      </c>
      <c r="C19" s="28" t="s">
        <v>77</v>
      </c>
      <c r="D19" s="29" t="s">
        <v>82</v>
      </c>
      <c r="E19" s="30">
        <v>26063.0</v>
      </c>
      <c r="F19" s="30">
        <v>0.0</v>
      </c>
      <c r="G19" s="30">
        <v>0.0</v>
      </c>
      <c r="I19" s="31"/>
    </row>
    <row r="20" ht="22.5" customHeight="1">
      <c r="A20" s="32">
        <v>46071.0</v>
      </c>
      <c r="B20" s="24">
        <f t="shared" si="1"/>
        <v>2026</v>
      </c>
      <c r="C20" s="25" t="s">
        <v>77</v>
      </c>
      <c r="D20" s="24" t="s">
        <v>86</v>
      </c>
      <c r="E20" s="26">
        <v>0.0</v>
      </c>
      <c r="F20" s="26">
        <v>18788.0</v>
      </c>
      <c r="G20" s="26">
        <v>18788.0</v>
      </c>
      <c r="I20" s="31"/>
    </row>
    <row r="21" ht="22.5" customHeight="1">
      <c r="A21" s="33">
        <v>46074.0</v>
      </c>
      <c r="B21" s="24">
        <f t="shared" si="1"/>
        <v>2026</v>
      </c>
      <c r="C21" s="28" t="s">
        <v>77</v>
      </c>
      <c r="D21" s="29" t="s">
        <v>82</v>
      </c>
      <c r="E21" s="30">
        <v>18000.0</v>
      </c>
      <c r="F21" s="30">
        <v>0.0</v>
      </c>
      <c r="G21" s="30">
        <v>788.0</v>
      </c>
      <c r="I21" s="31"/>
    </row>
    <row r="22" ht="22.5" customHeight="1">
      <c r="A22" s="32">
        <v>46103.0</v>
      </c>
      <c r="B22" s="24">
        <f t="shared" si="1"/>
        <v>2026</v>
      </c>
      <c r="C22" s="25" t="s">
        <v>77</v>
      </c>
      <c r="D22" s="24" t="s">
        <v>87</v>
      </c>
      <c r="E22" s="26">
        <v>0.0</v>
      </c>
      <c r="F22" s="26">
        <v>24999.0</v>
      </c>
      <c r="G22" s="26">
        <v>25787.0</v>
      </c>
      <c r="I22" s="31"/>
    </row>
    <row r="23" ht="22.5" customHeight="1">
      <c r="A23" s="33">
        <v>45748.0</v>
      </c>
      <c r="B23" s="24">
        <f t="shared" si="1"/>
        <v>2025</v>
      </c>
      <c r="C23" s="28" t="s">
        <v>88</v>
      </c>
      <c r="D23" s="29" t="s">
        <v>71</v>
      </c>
      <c r="E23" s="30">
        <v>0.0</v>
      </c>
      <c r="F23" s="30">
        <v>0.0</v>
      </c>
      <c r="G23" s="30">
        <v>0.0</v>
      </c>
      <c r="I23" s="31"/>
    </row>
    <row r="24" ht="22.5" customHeight="1">
      <c r="A24" s="32">
        <v>46025.0</v>
      </c>
      <c r="B24" s="24">
        <f t="shared" si="1"/>
        <v>2026</v>
      </c>
      <c r="C24" s="25" t="s">
        <v>88</v>
      </c>
      <c r="D24" s="24" t="s">
        <v>89</v>
      </c>
      <c r="E24" s="26">
        <v>0.0</v>
      </c>
      <c r="F24" s="26">
        <v>10134.0</v>
      </c>
      <c r="G24" s="26">
        <v>10134.0</v>
      </c>
      <c r="I24" s="31"/>
    </row>
    <row r="25" ht="22.5" customHeight="1">
      <c r="A25" s="33">
        <v>46025.0</v>
      </c>
      <c r="B25" s="24">
        <f t="shared" si="1"/>
        <v>2026</v>
      </c>
      <c r="C25" s="28" t="s">
        <v>88</v>
      </c>
      <c r="D25" s="29" t="s">
        <v>90</v>
      </c>
      <c r="E25" s="30">
        <v>0.0</v>
      </c>
      <c r="F25" s="30">
        <v>11097.0</v>
      </c>
      <c r="G25" s="30">
        <v>21231.0</v>
      </c>
      <c r="I25" s="31"/>
    </row>
    <row r="26" ht="22.5" customHeight="1">
      <c r="A26" s="32">
        <v>46043.0</v>
      </c>
      <c r="B26" s="24">
        <f t="shared" si="1"/>
        <v>2026</v>
      </c>
      <c r="C26" s="25" t="s">
        <v>88</v>
      </c>
      <c r="D26" s="24" t="s">
        <v>91</v>
      </c>
      <c r="E26" s="26">
        <v>0.0</v>
      </c>
      <c r="F26" s="26">
        <v>24161.0</v>
      </c>
      <c r="G26" s="26">
        <v>45392.0</v>
      </c>
      <c r="I26" s="31"/>
    </row>
    <row r="27" ht="22.5" customHeight="1">
      <c r="A27" s="33">
        <v>46049.0</v>
      </c>
      <c r="B27" s="24">
        <f t="shared" si="1"/>
        <v>2026</v>
      </c>
      <c r="C27" s="28" t="s">
        <v>88</v>
      </c>
      <c r="D27" s="29" t="s">
        <v>92</v>
      </c>
      <c r="E27" s="30">
        <v>0.0</v>
      </c>
      <c r="F27" s="30">
        <v>4130.0</v>
      </c>
      <c r="G27" s="30">
        <v>49522.0</v>
      </c>
      <c r="I27" s="31"/>
    </row>
    <row r="28" ht="22.5" customHeight="1">
      <c r="A28" s="32">
        <v>46051.0</v>
      </c>
      <c r="B28" s="24">
        <f t="shared" si="1"/>
        <v>2026</v>
      </c>
      <c r="C28" s="25" t="s">
        <v>88</v>
      </c>
      <c r="D28" s="24" t="s">
        <v>93</v>
      </c>
      <c r="E28" s="26">
        <v>0.0</v>
      </c>
      <c r="F28" s="26">
        <v>346.0</v>
      </c>
      <c r="G28" s="26">
        <v>49868.0</v>
      </c>
      <c r="I28" s="31"/>
    </row>
    <row r="29" ht="22.5" customHeight="1">
      <c r="A29" s="33">
        <v>46053.0</v>
      </c>
      <c r="B29" s="24">
        <f t="shared" si="1"/>
        <v>2026</v>
      </c>
      <c r="C29" s="28" t="s">
        <v>88</v>
      </c>
      <c r="D29" s="29" t="s">
        <v>94</v>
      </c>
      <c r="E29" s="30">
        <v>0.0</v>
      </c>
      <c r="F29" s="30">
        <v>8449.0</v>
      </c>
      <c r="G29" s="30">
        <v>58317.0</v>
      </c>
      <c r="I29" s="31"/>
    </row>
    <row r="30" ht="22.5" customHeight="1">
      <c r="A30" s="32">
        <v>46055.0</v>
      </c>
      <c r="B30" s="24">
        <f t="shared" si="1"/>
        <v>2026</v>
      </c>
      <c r="C30" s="25" t="s">
        <v>88</v>
      </c>
      <c r="D30" s="24" t="s">
        <v>95</v>
      </c>
      <c r="E30" s="26">
        <v>0.0</v>
      </c>
      <c r="F30" s="26">
        <v>22463.0</v>
      </c>
      <c r="G30" s="26">
        <v>80780.0</v>
      </c>
      <c r="I30" s="31"/>
    </row>
    <row r="31" ht="22.5" customHeight="1">
      <c r="A31" s="33">
        <v>46055.0</v>
      </c>
      <c r="B31" s="24">
        <f t="shared" si="1"/>
        <v>2026</v>
      </c>
      <c r="C31" s="28" t="s">
        <v>88</v>
      </c>
      <c r="D31" s="29" t="s">
        <v>96</v>
      </c>
      <c r="E31" s="30">
        <v>0.0</v>
      </c>
      <c r="F31" s="30">
        <v>11109.0</v>
      </c>
      <c r="G31" s="30">
        <v>91889.0</v>
      </c>
      <c r="I31" s="31"/>
    </row>
    <row r="32" ht="22.5" customHeight="1">
      <c r="A32" s="32">
        <v>46056.0</v>
      </c>
      <c r="B32" s="24">
        <f t="shared" si="1"/>
        <v>2026</v>
      </c>
      <c r="C32" s="25" t="s">
        <v>88</v>
      </c>
      <c r="D32" s="24" t="s">
        <v>97</v>
      </c>
      <c r="E32" s="26">
        <v>0.0</v>
      </c>
      <c r="F32" s="26">
        <v>6950.0</v>
      </c>
      <c r="G32" s="26">
        <v>98839.0</v>
      </c>
      <c r="I32" s="31"/>
    </row>
    <row r="33" ht="22.5" customHeight="1">
      <c r="A33" s="33">
        <v>46081.0</v>
      </c>
      <c r="B33" s="24">
        <f t="shared" si="1"/>
        <v>2026</v>
      </c>
      <c r="C33" s="28" t="s">
        <v>88</v>
      </c>
      <c r="D33" s="29" t="s">
        <v>98</v>
      </c>
      <c r="E33" s="30">
        <v>0.0</v>
      </c>
      <c r="F33" s="30">
        <v>3716.0</v>
      </c>
      <c r="G33" s="30">
        <v>102555.0</v>
      </c>
      <c r="I33" s="31"/>
    </row>
    <row r="34" ht="22.5" customHeight="1">
      <c r="A34" s="32">
        <v>46103.0</v>
      </c>
      <c r="B34" s="24">
        <f t="shared" si="1"/>
        <v>2026</v>
      </c>
      <c r="C34" s="25" t="s">
        <v>88</v>
      </c>
      <c r="D34" s="24" t="s">
        <v>99</v>
      </c>
      <c r="E34" s="26">
        <v>0.0</v>
      </c>
      <c r="F34" s="26">
        <v>10620.0</v>
      </c>
      <c r="G34" s="26">
        <v>113175.0</v>
      </c>
      <c r="I34" s="31"/>
    </row>
    <row r="35" ht="22.5" customHeight="1">
      <c r="A35" s="33">
        <v>46104.0</v>
      </c>
      <c r="B35" s="24">
        <f t="shared" si="1"/>
        <v>2026</v>
      </c>
      <c r="C35" s="28" t="s">
        <v>88</v>
      </c>
      <c r="D35" s="29" t="s">
        <v>100</v>
      </c>
      <c r="E35" s="30">
        <v>0.0</v>
      </c>
      <c r="F35" s="30">
        <v>6904.0</v>
      </c>
      <c r="G35" s="30">
        <v>120079.0</v>
      </c>
      <c r="I35" s="31"/>
    </row>
    <row r="36" ht="22.5" customHeight="1">
      <c r="A36" s="32">
        <v>46105.0</v>
      </c>
      <c r="B36" s="24">
        <f t="shared" si="1"/>
        <v>2026</v>
      </c>
      <c r="C36" s="25" t="s">
        <v>88</v>
      </c>
      <c r="D36" s="24" t="s">
        <v>101</v>
      </c>
      <c r="E36" s="26">
        <v>0.0</v>
      </c>
      <c r="F36" s="26">
        <v>9589.0</v>
      </c>
      <c r="G36" s="26">
        <v>129668.0</v>
      </c>
      <c r="I36" s="31"/>
    </row>
    <row r="37" ht="22.5" customHeight="1">
      <c r="A37" s="33">
        <v>46107.0</v>
      </c>
      <c r="B37" s="24">
        <f t="shared" si="1"/>
        <v>2026</v>
      </c>
      <c r="C37" s="28" t="s">
        <v>88</v>
      </c>
      <c r="D37" s="29" t="s">
        <v>102</v>
      </c>
      <c r="E37" s="30">
        <v>0.0</v>
      </c>
      <c r="F37" s="30">
        <v>17374.0</v>
      </c>
      <c r="G37" s="30">
        <v>147042.0</v>
      </c>
      <c r="I37" s="31"/>
    </row>
    <row r="38" ht="22.5" customHeight="1">
      <c r="A38" s="32">
        <v>46107.0</v>
      </c>
      <c r="B38" s="24">
        <f t="shared" si="1"/>
        <v>2026</v>
      </c>
      <c r="C38" s="25" t="s">
        <v>88</v>
      </c>
      <c r="D38" s="24" t="s">
        <v>103</v>
      </c>
      <c r="E38" s="26">
        <v>0.0</v>
      </c>
      <c r="F38" s="26">
        <v>26550.0</v>
      </c>
      <c r="G38" s="26">
        <v>173592.0</v>
      </c>
      <c r="I38" s="31"/>
    </row>
    <row r="39" ht="22.5" customHeight="1">
      <c r="A39" s="33">
        <v>46111.0</v>
      </c>
      <c r="B39" s="24">
        <f t="shared" si="1"/>
        <v>2026</v>
      </c>
      <c r="C39" s="28" t="s">
        <v>88</v>
      </c>
      <c r="D39" s="29" t="s">
        <v>82</v>
      </c>
      <c r="E39" s="30">
        <v>102548.0</v>
      </c>
      <c r="F39" s="30">
        <v>0.0</v>
      </c>
      <c r="G39" s="30">
        <v>71044.0</v>
      </c>
      <c r="I39" s="31"/>
    </row>
    <row r="40" ht="22.5" customHeight="1">
      <c r="A40" s="32">
        <v>46112.0</v>
      </c>
      <c r="B40" s="24">
        <f t="shared" si="1"/>
        <v>2026</v>
      </c>
      <c r="C40" s="25" t="s">
        <v>88</v>
      </c>
      <c r="D40" s="24" t="s">
        <v>104</v>
      </c>
      <c r="E40" s="26">
        <v>0.0</v>
      </c>
      <c r="F40" s="26">
        <v>17594.0</v>
      </c>
      <c r="G40" s="26">
        <v>88638.0</v>
      </c>
      <c r="I40" s="31"/>
    </row>
    <row r="41" ht="22.5" customHeight="1">
      <c r="A41" s="33">
        <v>45748.0</v>
      </c>
      <c r="B41" s="24">
        <f t="shared" si="1"/>
        <v>2025</v>
      </c>
      <c r="C41" s="28" t="s">
        <v>105</v>
      </c>
      <c r="D41" s="29" t="s">
        <v>71</v>
      </c>
      <c r="E41" s="30">
        <v>0.0</v>
      </c>
      <c r="F41" s="30">
        <v>559119.0</v>
      </c>
      <c r="G41" s="30">
        <v>559119.0</v>
      </c>
      <c r="I41" s="31"/>
    </row>
    <row r="42" ht="22.5" customHeight="1">
      <c r="A42" s="32">
        <v>45761.0</v>
      </c>
      <c r="B42" s="24">
        <f t="shared" si="1"/>
        <v>2025</v>
      </c>
      <c r="C42" s="25" t="s">
        <v>105</v>
      </c>
      <c r="D42" s="24" t="s">
        <v>106</v>
      </c>
      <c r="E42" s="26">
        <v>272746.0</v>
      </c>
      <c r="F42" s="26">
        <v>0.0</v>
      </c>
      <c r="G42" s="26">
        <v>286373.0</v>
      </c>
      <c r="I42" s="31"/>
    </row>
    <row r="43" ht="22.5" customHeight="1">
      <c r="A43" s="33">
        <v>45790.0</v>
      </c>
      <c r="B43" s="24">
        <f t="shared" si="1"/>
        <v>2025</v>
      </c>
      <c r="C43" s="28" t="s">
        <v>105</v>
      </c>
      <c r="D43" s="29" t="s">
        <v>107</v>
      </c>
      <c r="E43" s="30">
        <v>0.0</v>
      </c>
      <c r="F43" s="30">
        <v>19040.0</v>
      </c>
      <c r="G43" s="30">
        <v>305413.0</v>
      </c>
      <c r="I43" s="31"/>
    </row>
    <row r="44" ht="22.5" customHeight="1">
      <c r="A44" s="32">
        <v>45792.0</v>
      </c>
      <c r="B44" s="24">
        <f t="shared" si="1"/>
        <v>2025</v>
      </c>
      <c r="C44" s="25" t="s">
        <v>105</v>
      </c>
      <c r="D44" s="24" t="s">
        <v>108</v>
      </c>
      <c r="E44" s="26">
        <v>0.0</v>
      </c>
      <c r="F44" s="26">
        <v>17714.0</v>
      </c>
      <c r="G44" s="26">
        <v>323127.0</v>
      </c>
      <c r="I44" s="31"/>
    </row>
    <row r="45" ht="22.5" customHeight="1">
      <c r="A45" s="33">
        <v>45793.0</v>
      </c>
      <c r="B45" s="24">
        <f t="shared" si="1"/>
        <v>2025</v>
      </c>
      <c r="C45" s="28" t="s">
        <v>105</v>
      </c>
      <c r="D45" s="29" t="s">
        <v>101</v>
      </c>
      <c r="E45" s="30">
        <v>0.0</v>
      </c>
      <c r="F45" s="30">
        <v>22400.0</v>
      </c>
      <c r="G45" s="30">
        <v>345527.0</v>
      </c>
      <c r="I45" s="31"/>
    </row>
    <row r="46" ht="22.5" customHeight="1">
      <c r="A46" s="32">
        <v>45798.0</v>
      </c>
      <c r="B46" s="24">
        <f t="shared" si="1"/>
        <v>2025</v>
      </c>
      <c r="C46" s="25" t="s">
        <v>105</v>
      </c>
      <c r="D46" s="24" t="s">
        <v>75</v>
      </c>
      <c r="E46" s="26">
        <v>0.0</v>
      </c>
      <c r="F46" s="26">
        <v>24640.0</v>
      </c>
      <c r="G46" s="26">
        <v>370167.0</v>
      </c>
      <c r="I46" s="31"/>
    </row>
    <row r="47" ht="22.5" customHeight="1">
      <c r="A47" s="33">
        <v>45800.0</v>
      </c>
      <c r="B47" s="24">
        <f t="shared" si="1"/>
        <v>2025</v>
      </c>
      <c r="C47" s="28" t="s">
        <v>105</v>
      </c>
      <c r="D47" s="29" t="s">
        <v>103</v>
      </c>
      <c r="E47" s="30">
        <v>0.0</v>
      </c>
      <c r="F47" s="30">
        <v>22400.0</v>
      </c>
      <c r="G47" s="30">
        <v>392567.0</v>
      </c>
      <c r="I47" s="31"/>
    </row>
    <row r="48" ht="22.5" customHeight="1">
      <c r="A48" s="32">
        <v>45801.0</v>
      </c>
      <c r="B48" s="24">
        <f t="shared" si="1"/>
        <v>2025</v>
      </c>
      <c r="C48" s="25" t="s">
        <v>105</v>
      </c>
      <c r="D48" s="24" t="s">
        <v>109</v>
      </c>
      <c r="E48" s="26">
        <v>0.0</v>
      </c>
      <c r="F48" s="26">
        <v>16522.0</v>
      </c>
      <c r="G48" s="26">
        <v>409089.0</v>
      </c>
      <c r="I48" s="31"/>
    </row>
    <row r="49" ht="22.5" customHeight="1">
      <c r="A49" s="33">
        <v>45807.0</v>
      </c>
      <c r="B49" s="24">
        <f t="shared" si="1"/>
        <v>2025</v>
      </c>
      <c r="C49" s="28" t="s">
        <v>105</v>
      </c>
      <c r="D49" s="29" t="s">
        <v>110</v>
      </c>
      <c r="E49" s="30">
        <v>0.0</v>
      </c>
      <c r="F49" s="30">
        <v>20160.0</v>
      </c>
      <c r="G49" s="30">
        <v>429249.0</v>
      </c>
      <c r="I49" s="31"/>
    </row>
    <row r="50" ht="22.5" customHeight="1">
      <c r="A50" s="32">
        <v>45808.0</v>
      </c>
      <c r="B50" s="24">
        <f t="shared" si="1"/>
        <v>2025</v>
      </c>
      <c r="C50" s="25" t="s">
        <v>105</v>
      </c>
      <c r="D50" s="24" t="s">
        <v>111</v>
      </c>
      <c r="E50" s="26">
        <v>0.0</v>
      </c>
      <c r="F50" s="26">
        <v>18964.0</v>
      </c>
      <c r="G50" s="26">
        <v>448213.0</v>
      </c>
      <c r="I50" s="31"/>
    </row>
    <row r="51" ht="22.5" customHeight="1">
      <c r="A51" s="33">
        <v>45811.0</v>
      </c>
      <c r="B51" s="24">
        <f t="shared" si="1"/>
        <v>2025</v>
      </c>
      <c r="C51" s="28" t="s">
        <v>105</v>
      </c>
      <c r="D51" s="29" t="s">
        <v>112</v>
      </c>
      <c r="E51" s="30">
        <v>0.0</v>
      </c>
      <c r="F51" s="30">
        <v>7862.0</v>
      </c>
      <c r="G51" s="30">
        <v>456075.0</v>
      </c>
      <c r="I51" s="31"/>
    </row>
    <row r="52" ht="22.5" customHeight="1">
      <c r="A52" s="32">
        <v>45871.0</v>
      </c>
      <c r="B52" s="24">
        <f t="shared" si="1"/>
        <v>2025</v>
      </c>
      <c r="C52" s="25" t="s">
        <v>105</v>
      </c>
      <c r="D52" s="24" t="s">
        <v>113</v>
      </c>
      <c r="E52" s="26">
        <v>0.0</v>
      </c>
      <c r="F52" s="26">
        <v>22400.0</v>
      </c>
      <c r="G52" s="26">
        <v>478475.0</v>
      </c>
      <c r="I52" s="31"/>
    </row>
    <row r="53" ht="22.5" customHeight="1">
      <c r="A53" s="33">
        <v>45904.0</v>
      </c>
      <c r="B53" s="24">
        <f t="shared" si="1"/>
        <v>2025</v>
      </c>
      <c r="C53" s="28" t="s">
        <v>105</v>
      </c>
      <c r="D53" s="29" t="s">
        <v>114</v>
      </c>
      <c r="E53" s="30">
        <v>0.0</v>
      </c>
      <c r="F53" s="30">
        <v>11928.0</v>
      </c>
      <c r="G53" s="30">
        <v>490403.0</v>
      </c>
      <c r="I53" s="31"/>
    </row>
    <row r="54" ht="22.5" customHeight="1">
      <c r="A54" s="32">
        <v>45908.0</v>
      </c>
      <c r="B54" s="24">
        <f t="shared" si="1"/>
        <v>2025</v>
      </c>
      <c r="C54" s="25" t="s">
        <v>105</v>
      </c>
      <c r="D54" s="24" t="s">
        <v>115</v>
      </c>
      <c r="E54" s="26">
        <v>0.0</v>
      </c>
      <c r="F54" s="26">
        <v>14586.0</v>
      </c>
      <c r="G54" s="26">
        <v>504989.0</v>
      </c>
      <c r="I54" s="31"/>
    </row>
    <row r="55" ht="22.5" customHeight="1">
      <c r="A55" s="33">
        <v>45911.0</v>
      </c>
      <c r="B55" s="24">
        <f t="shared" si="1"/>
        <v>2025</v>
      </c>
      <c r="C55" s="28" t="s">
        <v>105</v>
      </c>
      <c r="D55" s="29" t="s">
        <v>116</v>
      </c>
      <c r="E55" s="30">
        <v>0.0</v>
      </c>
      <c r="F55" s="30">
        <v>20302.0</v>
      </c>
      <c r="G55" s="30">
        <v>525291.0</v>
      </c>
      <c r="I55" s="31"/>
    </row>
    <row r="56" ht="22.5" customHeight="1">
      <c r="A56" s="32">
        <v>45922.0</v>
      </c>
      <c r="B56" s="24">
        <f t="shared" si="1"/>
        <v>2025</v>
      </c>
      <c r="C56" s="25" t="s">
        <v>105</v>
      </c>
      <c r="D56" s="24" t="s">
        <v>82</v>
      </c>
      <c r="E56" s="26">
        <v>312278.0</v>
      </c>
      <c r="F56" s="26">
        <v>0.0</v>
      </c>
      <c r="G56" s="26">
        <v>213013.0</v>
      </c>
      <c r="I56" s="31"/>
    </row>
    <row r="57" ht="22.5" customHeight="1">
      <c r="A57" s="33">
        <v>45957.0</v>
      </c>
      <c r="B57" s="24">
        <f t="shared" si="1"/>
        <v>2025</v>
      </c>
      <c r="C57" s="28" t="s">
        <v>105</v>
      </c>
      <c r="D57" s="29" t="s">
        <v>117</v>
      </c>
      <c r="E57" s="30">
        <v>0.0</v>
      </c>
      <c r="F57" s="30">
        <v>19446.0</v>
      </c>
      <c r="G57" s="30">
        <v>232459.0</v>
      </c>
      <c r="I57" s="31"/>
    </row>
    <row r="58" ht="22.5" customHeight="1">
      <c r="A58" s="32">
        <v>45962.0</v>
      </c>
      <c r="B58" s="24">
        <f t="shared" si="1"/>
        <v>2025</v>
      </c>
      <c r="C58" s="25" t="s">
        <v>105</v>
      </c>
      <c r="D58" s="24" t="s">
        <v>118</v>
      </c>
      <c r="E58" s="26">
        <v>0.0</v>
      </c>
      <c r="F58" s="26">
        <v>24072.0</v>
      </c>
      <c r="G58" s="26">
        <v>256531.0</v>
      </c>
      <c r="I58" s="31"/>
    </row>
    <row r="59" ht="22.5" customHeight="1">
      <c r="A59" s="33">
        <v>45965.0</v>
      </c>
      <c r="B59" s="24">
        <f t="shared" si="1"/>
        <v>2025</v>
      </c>
      <c r="C59" s="28" t="s">
        <v>105</v>
      </c>
      <c r="D59" s="29" t="s">
        <v>119</v>
      </c>
      <c r="E59" s="30">
        <v>0.0</v>
      </c>
      <c r="F59" s="30">
        <v>22488.0</v>
      </c>
      <c r="G59" s="30">
        <v>279019.0</v>
      </c>
      <c r="I59" s="31"/>
    </row>
    <row r="60" ht="22.5" customHeight="1">
      <c r="A60" s="32">
        <v>45969.0</v>
      </c>
      <c r="B60" s="24">
        <f t="shared" si="1"/>
        <v>2025</v>
      </c>
      <c r="C60" s="25" t="s">
        <v>105</v>
      </c>
      <c r="D60" s="24" t="s">
        <v>120</v>
      </c>
      <c r="E60" s="26">
        <v>0.0</v>
      </c>
      <c r="F60" s="26">
        <v>11586.0</v>
      </c>
      <c r="G60" s="26">
        <v>290605.0</v>
      </c>
      <c r="I60" s="31"/>
    </row>
    <row r="61" ht="22.5" customHeight="1">
      <c r="A61" s="33">
        <v>45975.0</v>
      </c>
      <c r="B61" s="24">
        <f t="shared" si="1"/>
        <v>2025</v>
      </c>
      <c r="C61" s="28" t="s">
        <v>105</v>
      </c>
      <c r="D61" s="29" t="s">
        <v>121</v>
      </c>
      <c r="E61" s="30">
        <v>0.0</v>
      </c>
      <c r="F61" s="30">
        <v>4312.0</v>
      </c>
      <c r="G61" s="30">
        <v>294917.0</v>
      </c>
      <c r="I61" s="31"/>
    </row>
    <row r="62" ht="22.5" customHeight="1">
      <c r="A62" s="32">
        <v>45983.0</v>
      </c>
      <c r="B62" s="24">
        <f t="shared" si="1"/>
        <v>2025</v>
      </c>
      <c r="C62" s="25" t="s">
        <v>105</v>
      </c>
      <c r="D62" s="24" t="s">
        <v>122</v>
      </c>
      <c r="E62" s="26">
        <v>0.0</v>
      </c>
      <c r="F62" s="26">
        <v>1862.0</v>
      </c>
      <c r="G62" s="26">
        <v>296779.0</v>
      </c>
      <c r="I62" s="31"/>
    </row>
    <row r="63" ht="22.5" customHeight="1">
      <c r="A63" s="33">
        <v>46022.0</v>
      </c>
      <c r="B63" s="24">
        <f t="shared" si="1"/>
        <v>2025</v>
      </c>
      <c r="C63" s="28" t="s">
        <v>105</v>
      </c>
      <c r="D63" s="29" t="s">
        <v>82</v>
      </c>
      <c r="E63" s="30">
        <v>75536.0</v>
      </c>
      <c r="F63" s="30">
        <v>0.0</v>
      </c>
      <c r="G63" s="30">
        <v>221243.0</v>
      </c>
      <c r="I63" s="31"/>
    </row>
    <row r="64" ht="22.5" customHeight="1">
      <c r="A64" s="32">
        <v>46049.0</v>
      </c>
      <c r="B64" s="24">
        <f t="shared" si="1"/>
        <v>2026</v>
      </c>
      <c r="C64" s="25" t="s">
        <v>105</v>
      </c>
      <c r="D64" s="24" t="s">
        <v>123</v>
      </c>
      <c r="E64" s="26">
        <v>0.0</v>
      </c>
      <c r="F64" s="26">
        <v>13028.0</v>
      </c>
      <c r="G64" s="26">
        <v>234271.0</v>
      </c>
      <c r="I64" s="31"/>
    </row>
    <row r="65" ht="22.5" customHeight="1">
      <c r="A65" s="33">
        <v>46064.0</v>
      </c>
      <c r="B65" s="24">
        <f t="shared" si="1"/>
        <v>2026</v>
      </c>
      <c r="C65" s="28" t="s">
        <v>105</v>
      </c>
      <c r="D65" s="29" t="s">
        <v>82</v>
      </c>
      <c r="E65" s="30">
        <v>94896.0</v>
      </c>
      <c r="F65" s="30">
        <v>0.0</v>
      </c>
      <c r="G65" s="30">
        <v>139375.0</v>
      </c>
      <c r="I65" s="31"/>
    </row>
    <row r="66" ht="22.5" customHeight="1">
      <c r="A66" s="32">
        <v>46094.0</v>
      </c>
      <c r="B66" s="24">
        <f t="shared" si="1"/>
        <v>2026</v>
      </c>
      <c r="C66" s="25" t="s">
        <v>105</v>
      </c>
      <c r="D66" s="24" t="s">
        <v>124</v>
      </c>
      <c r="E66" s="26">
        <v>0.0</v>
      </c>
      <c r="F66" s="26">
        <v>22567.0</v>
      </c>
      <c r="G66" s="26">
        <v>161942.0</v>
      </c>
      <c r="I66" s="31"/>
    </row>
    <row r="67" ht="22.5" customHeight="1">
      <c r="A67" s="33">
        <v>46097.0</v>
      </c>
      <c r="B67" s="24">
        <f t="shared" si="1"/>
        <v>2026</v>
      </c>
      <c r="C67" s="28" t="s">
        <v>105</v>
      </c>
      <c r="D67" s="29" t="s">
        <v>125</v>
      </c>
      <c r="E67" s="30">
        <v>0.0</v>
      </c>
      <c r="F67" s="30">
        <v>22567.0</v>
      </c>
      <c r="G67" s="30">
        <v>184509.0</v>
      </c>
      <c r="I67" s="31"/>
    </row>
    <row r="68" ht="22.5" customHeight="1">
      <c r="A68" s="32">
        <v>46098.0</v>
      </c>
      <c r="B68" s="24">
        <f t="shared" si="1"/>
        <v>2026</v>
      </c>
      <c r="C68" s="25" t="s">
        <v>105</v>
      </c>
      <c r="D68" s="24" t="s">
        <v>126</v>
      </c>
      <c r="E68" s="26">
        <v>0.0</v>
      </c>
      <c r="F68" s="26">
        <v>14991.0</v>
      </c>
      <c r="G68" s="26">
        <v>199500.0</v>
      </c>
      <c r="I68" s="31"/>
    </row>
    <row r="69" ht="22.5" customHeight="1">
      <c r="A69" s="33">
        <v>46101.0</v>
      </c>
      <c r="B69" s="24">
        <f t="shared" si="1"/>
        <v>2026</v>
      </c>
      <c r="C69" s="28" t="s">
        <v>105</v>
      </c>
      <c r="D69" s="29" t="s">
        <v>127</v>
      </c>
      <c r="E69" s="30">
        <v>0.0</v>
      </c>
      <c r="F69" s="30">
        <v>25444.0</v>
      </c>
      <c r="G69" s="30">
        <v>224944.0</v>
      </c>
      <c r="I69" s="31"/>
    </row>
    <row r="70" ht="22.5" customHeight="1">
      <c r="A70" s="32">
        <v>46102.0</v>
      </c>
      <c r="B70" s="24">
        <f t="shared" si="1"/>
        <v>2026</v>
      </c>
      <c r="C70" s="25" t="s">
        <v>105</v>
      </c>
      <c r="D70" s="24" t="s">
        <v>128</v>
      </c>
      <c r="E70" s="26">
        <v>0.0</v>
      </c>
      <c r="F70" s="26">
        <v>34381.0</v>
      </c>
      <c r="G70" s="26">
        <v>259325.0</v>
      </c>
      <c r="I70" s="31"/>
    </row>
    <row r="71" ht="22.5" customHeight="1">
      <c r="A71" s="33">
        <v>46106.0</v>
      </c>
      <c r="B71" s="24">
        <f t="shared" si="1"/>
        <v>2026</v>
      </c>
      <c r="C71" s="28" t="s">
        <v>105</v>
      </c>
      <c r="D71" s="29" t="s">
        <v>129</v>
      </c>
      <c r="E71" s="30">
        <v>0.0</v>
      </c>
      <c r="F71" s="30">
        <v>21001.0</v>
      </c>
      <c r="G71" s="30">
        <v>280326.0</v>
      </c>
      <c r="I71" s="31"/>
    </row>
    <row r="72" ht="22.5" customHeight="1">
      <c r="A72" s="32">
        <v>46106.0</v>
      </c>
      <c r="B72" s="24">
        <f t="shared" si="1"/>
        <v>2026</v>
      </c>
      <c r="C72" s="25" t="s">
        <v>105</v>
      </c>
      <c r="D72" s="24" t="s">
        <v>130</v>
      </c>
      <c r="E72" s="26">
        <v>0.0</v>
      </c>
      <c r="F72" s="26">
        <v>17700.0</v>
      </c>
      <c r="G72" s="26">
        <v>298026.0</v>
      </c>
      <c r="I72" s="31"/>
    </row>
    <row r="73" ht="22.5" customHeight="1">
      <c r="A73" s="33">
        <v>46109.0</v>
      </c>
      <c r="B73" s="24">
        <f t="shared" si="1"/>
        <v>2026</v>
      </c>
      <c r="C73" s="28" t="s">
        <v>105</v>
      </c>
      <c r="D73" s="29" t="s">
        <v>131</v>
      </c>
      <c r="E73" s="30">
        <v>0.0</v>
      </c>
      <c r="F73" s="30">
        <v>16963.0</v>
      </c>
      <c r="G73" s="30">
        <v>314989.0</v>
      </c>
      <c r="I73" s="31"/>
    </row>
    <row r="74" ht="22.5" customHeight="1">
      <c r="A74" s="32">
        <v>46109.0</v>
      </c>
      <c r="B74" s="24">
        <f t="shared" si="1"/>
        <v>2026</v>
      </c>
      <c r="C74" s="25" t="s">
        <v>105</v>
      </c>
      <c r="D74" s="24" t="s">
        <v>110</v>
      </c>
      <c r="E74" s="26">
        <v>0.0</v>
      </c>
      <c r="F74" s="26">
        <v>27487.0</v>
      </c>
      <c r="G74" s="26">
        <v>342476.0</v>
      </c>
      <c r="I74" s="31"/>
    </row>
    <row r="75" ht="22.5" customHeight="1">
      <c r="A75" s="33">
        <v>46112.0</v>
      </c>
      <c r="B75" s="24">
        <f t="shared" si="1"/>
        <v>2026</v>
      </c>
      <c r="C75" s="28" t="s">
        <v>105</v>
      </c>
      <c r="D75" s="29" t="s">
        <v>132</v>
      </c>
      <c r="E75" s="30">
        <v>0.0</v>
      </c>
      <c r="F75" s="30">
        <v>6203.0</v>
      </c>
      <c r="G75" s="30">
        <v>348679.0</v>
      </c>
      <c r="I75" s="31"/>
    </row>
    <row r="76" ht="22.5" customHeight="1">
      <c r="A76" s="32">
        <v>45748.0</v>
      </c>
      <c r="B76" s="24">
        <f t="shared" si="1"/>
        <v>2025</v>
      </c>
      <c r="C76" s="25" t="s">
        <v>133</v>
      </c>
      <c r="D76" s="24" t="s">
        <v>71</v>
      </c>
      <c r="E76" s="26">
        <v>0.0</v>
      </c>
      <c r="F76" s="26">
        <v>0.0</v>
      </c>
      <c r="G76" s="26">
        <v>0.0</v>
      </c>
      <c r="I76" s="31"/>
    </row>
    <row r="77" ht="22.5" customHeight="1">
      <c r="A77" s="33">
        <v>46093.0</v>
      </c>
      <c r="B77" s="24">
        <f t="shared" si="1"/>
        <v>2026</v>
      </c>
      <c r="C77" s="28" t="s">
        <v>133</v>
      </c>
      <c r="D77" s="29" t="s">
        <v>134</v>
      </c>
      <c r="E77" s="30">
        <v>0.0</v>
      </c>
      <c r="F77" s="30">
        <v>6774.0</v>
      </c>
      <c r="G77" s="30">
        <v>6774.0</v>
      </c>
      <c r="I77" s="31"/>
    </row>
    <row r="78" ht="22.5" customHeight="1">
      <c r="A78" s="32">
        <v>46094.0</v>
      </c>
      <c r="B78" s="24">
        <f t="shared" si="1"/>
        <v>2026</v>
      </c>
      <c r="C78" s="25" t="s">
        <v>133</v>
      </c>
      <c r="D78" s="24" t="s">
        <v>135</v>
      </c>
      <c r="E78" s="26">
        <v>0.0</v>
      </c>
      <c r="F78" s="26">
        <v>6088.0</v>
      </c>
      <c r="G78" s="26">
        <v>12862.0</v>
      </c>
      <c r="I78" s="31"/>
    </row>
    <row r="79" ht="22.5" customHeight="1">
      <c r="A79" s="33">
        <v>46102.0</v>
      </c>
      <c r="B79" s="24">
        <f t="shared" si="1"/>
        <v>2026</v>
      </c>
      <c r="C79" s="28" t="s">
        <v>133</v>
      </c>
      <c r="D79" s="29" t="s">
        <v>136</v>
      </c>
      <c r="E79" s="30">
        <v>0.0</v>
      </c>
      <c r="F79" s="30">
        <v>6476.0</v>
      </c>
      <c r="G79" s="30">
        <v>19338.0</v>
      </c>
      <c r="I79" s="31"/>
    </row>
    <row r="80" ht="22.5" customHeight="1">
      <c r="A80" s="34">
        <v>45748.0</v>
      </c>
      <c r="B80" s="35">
        <f t="shared" si="1"/>
        <v>2025</v>
      </c>
      <c r="C80" s="36" t="s">
        <v>137</v>
      </c>
      <c r="D80" s="35" t="s">
        <v>71</v>
      </c>
      <c r="E80" s="37">
        <v>0.0</v>
      </c>
      <c r="F80" s="37">
        <v>0.0</v>
      </c>
      <c r="G80" s="37">
        <v>0.0</v>
      </c>
      <c r="I80" s="31"/>
    </row>
    <row r="81" ht="22.5" customHeight="1">
      <c r="A81" s="38">
        <v>46102.0</v>
      </c>
      <c r="B81" s="35">
        <f t="shared" si="1"/>
        <v>2026</v>
      </c>
      <c r="C81" s="39" t="s">
        <v>137</v>
      </c>
      <c r="D81" s="40" t="s">
        <v>138</v>
      </c>
      <c r="E81" s="41">
        <v>0.0</v>
      </c>
      <c r="F81" s="41">
        <v>39566.0</v>
      </c>
      <c r="G81" s="41">
        <v>39566.0</v>
      </c>
      <c r="I81" s="31"/>
    </row>
    <row r="82" ht="22.5" customHeight="1">
      <c r="A82" s="34">
        <v>46104.0</v>
      </c>
      <c r="B82" s="35">
        <f t="shared" si="1"/>
        <v>2026</v>
      </c>
      <c r="C82" s="36" t="s">
        <v>137</v>
      </c>
      <c r="D82" s="35" t="s">
        <v>139</v>
      </c>
      <c r="E82" s="37">
        <v>0.0</v>
      </c>
      <c r="F82" s="37">
        <v>48929.0</v>
      </c>
      <c r="G82" s="37">
        <v>88495.0</v>
      </c>
      <c r="I82" s="31"/>
    </row>
    <row r="83" ht="22.5" customHeight="1">
      <c r="A83" s="38">
        <v>46105.0</v>
      </c>
      <c r="B83" s="35">
        <f t="shared" si="1"/>
        <v>2026</v>
      </c>
      <c r="C83" s="39" t="s">
        <v>137</v>
      </c>
      <c r="D83" s="40" t="s">
        <v>140</v>
      </c>
      <c r="E83" s="41">
        <v>50000.0</v>
      </c>
      <c r="F83" s="41">
        <v>0.0</v>
      </c>
      <c r="G83" s="41">
        <v>38495.0</v>
      </c>
      <c r="I83" s="31"/>
    </row>
    <row r="84" ht="22.5" customHeight="1">
      <c r="A84" s="34">
        <v>46105.0</v>
      </c>
      <c r="B84" s="35">
        <f t="shared" si="1"/>
        <v>2026</v>
      </c>
      <c r="C84" s="36" t="s">
        <v>137</v>
      </c>
      <c r="D84" s="35" t="s">
        <v>141</v>
      </c>
      <c r="E84" s="37">
        <v>0.0</v>
      </c>
      <c r="F84" s="37">
        <v>21127.0</v>
      </c>
      <c r="G84" s="37">
        <v>59622.0</v>
      </c>
      <c r="I84" s="31"/>
    </row>
    <row r="85" ht="22.5" customHeight="1">
      <c r="A85" s="38">
        <v>46105.0</v>
      </c>
      <c r="B85" s="35">
        <f t="shared" si="1"/>
        <v>2026</v>
      </c>
      <c r="C85" s="39" t="s">
        <v>137</v>
      </c>
      <c r="D85" s="40" t="s">
        <v>142</v>
      </c>
      <c r="E85" s="41">
        <v>0.0</v>
      </c>
      <c r="F85" s="41">
        <v>60110.0</v>
      </c>
      <c r="G85" s="41">
        <v>119732.0</v>
      </c>
      <c r="I85" s="31"/>
    </row>
    <row r="86" ht="22.5" customHeight="1">
      <c r="A86" s="34">
        <v>46107.0</v>
      </c>
      <c r="B86" s="35">
        <f t="shared" si="1"/>
        <v>2026</v>
      </c>
      <c r="C86" s="36" t="s">
        <v>137</v>
      </c>
      <c r="D86" s="35" t="s">
        <v>143</v>
      </c>
      <c r="E86" s="37">
        <v>0.0</v>
      </c>
      <c r="F86" s="37">
        <v>17994.0</v>
      </c>
      <c r="G86" s="37">
        <v>137726.0</v>
      </c>
      <c r="I86" s="31"/>
    </row>
    <row r="87" ht="22.5" customHeight="1">
      <c r="A87" s="38">
        <v>46108.0</v>
      </c>
      <c r="B87" s="35">
        <f t="shared" si="1"/>
        <v>2026</v>
      </c>
      <c r="C87" s="39" t="s">
        <v>137</v>
      </c>
      <c r="D87" s="40" t="s">
        <v>140</v>
      </c>
      <c r="E87" s="41">
        <v>50000.0</v>
      </c>
      <c r="F87" s="41">
        <v>0.0</v>
      </c>
      <c r="G87" s="41">
        <v>87726.0</v>
      </c>
      <c r="I87" s="31"/>
    </row>
    <row r="88" ht="22.5" customHeight="1">
      <c r="A88" s="34">
        <v>46111.0</v>
      </c>
      <c r="B88" s="35">
        <f t="shared" si="1"/>
        <v>2026</v>
      </c>
      <c r="C88" s="36" t="s">
        <v>137</v>
      </c>
      <c r="D88" s="35" t="s">
        <v>111</v>
      </c>
      <c r="E88" s="37">
        <v>0.0</v>
      </c>
      <c r="F88" s="37">
        <v>15340.0</v>
      </c>
      <c r="G88" s="37">
        <v>103066.0</v>
      </c>
      <c r="I88" s="31"/>
    </row>
    <row r="89" ht="22.5" customHeight="1">
      <c r="A89" s="38">
        <v>46119.0</v>
      </c>
      <c r="B89" s="35">
        <f t="shared" si="1"/>
        <v>2026</v>
      </c>
      <c r="C89" s="39" t="s">
        <v>137</v>
      </c>
      <c r="D89" s="40" t="s">
        <v>144</v>
      </c>
      <c r="E89" s="41">
        <v>0.0</v>
      </c>
      <c r="F89" s="41">
        <v>17606.0</v>
      </c>
      <c r="G89" s="41">
        <v>120672.0</v>
      </c>
      <c r="I89" s="31"/>
    </row>
    <row r="90" ht="22.5" customHeight="1">
      <c r="A90" s="34">
        <v>46122.0</v>
      </c>
      <c r="B90" s="35">
        <f t="shared" si="1"/>
        <v>2026</v>
      </c>
      <c r="C90" s="36" t="s">
        <v>137</v>
      </c>
      <c r="D90" s="35" t="s">
        <v>145</v>
      </c>
      <c r="E90" s="37">
        <v>0.0</v>
      </c>
      <c r="F90" s="37">
        <v>34557.0</v>
      </c>
      <c r="G90" s="37">
        <v>155229.0</v>
      </c>
      <c r="I90" s="31"/>
    </row>
    <row r="91" ht="22.5" customHeight="1">
      <c r="A91" s="42">
        <v>46121.0</v>
      </c>
      <c r="B91" s="43">
        <v>2026.0</v>
      </c>
      <c r="C91" s="44" t="s">
        <v>137</v>
      </c>
      <c r="D91" s="45" t="s">
        <v>146</v>
      </c>
      <c r="E91" s="43">
        <v>50000.0</v>
      </c>
      <c r="F91" s="45"/>
      <c r="G91" s="43">
        <f t="shared" ref="G91:G92" si="2">G90-E91</f>
        <v>105229</v>
      </c>
      <c r="I91" s="31"/>
    </row>
    <row r="92" ht="22.5" customHeight="1">
      <c r="A92" s="46">
        <v>46122.0</v>
      </c>
      <c r="B92" s="47">
        <v>2026.0</v>
      </c>
      <c r="C92" s="47" t="s">
        <v>137</v>
      </c>
      <c r="D92" s="48" t="s">
        <v>146</v>
      </c>
      <c r="E92" s="47">
        <v>50000.0</v>
      </c>
      <c r="F92" s="49"/>
      <c r="G92" s="49">
        <f t="shared" si="2"/>
        <v>55229</v>
      </c>
      <c r="I92" s="31"/>
    </row>
    <row r="93" ht="22.5" customHeight="1">
      <c r="A93" s="33">
        <v>45748.0</v>
      </c>
      <c r="B93" s="24">
        <f t="shared" ref="B93:B117" si="3">YEAR(A93)</f>
        <v>2025</v>
      </c>
      <c r="C93" s="28" t="s">
        <v>147</v>
      </c>
      <c r="D93" s="29" t="s">
        <v>71</v>
      </c>
      <c r="E93" s="30">
        <v>0.0</v>
      </c>
      <c r="F93" s="30">
        <v>0.0</v>
      </c>
      <c r="G93" s="30">
        <v>0.0</v>
      </c>
      <c r="I93" s="31"/>
    </row>
    <row r="94" ht="22.5" customHeight="1">
      <c r="A94" s="32">
        <v>46097.0</v>
      </c>
      <c r="B94" s="24">
        <f t="shared" si="3"/>
        <v>2026</v>
      </c>
      <c r="C94" s="25" t="s">
        <v>147</v>
      </c>
      <c r="D94" s="24" t="s">
        <v>148</v>
      </c>
      <c r="E94" s="26">
        <v>0.0</v>
      </c>
      <c r="F94" s="26">
        <v>9192.0</v>
      </c>
      <c r="G94" s="26">
        <v>9192.0</v>
      </c>
      <c r="I94" s="31"/>
    </row>
    <row r="95" ht="22.5" customHeight="1">
      <c r="A95" s="33">
        <v>46098.0</v>
      </c>
      <c r="B95" s="24">
        <f t="shared" si="3"/>
        <v>2026</v>
      </c>
      <c r="C95" s="28" t="s">
        <v>147</v>
      </c>
      <c r="D95" s="29" t="s">
        <v>149</v>
      </c>
      <c r="E95" s="30">
        <v>0.0</v>
      </c>
      <c r="F95" s="30">
        <v>10763.0</v>
      </c>
      <c r="G95" s="30">
        <v>19955.0</v>
      </c>
      <c r="I95" s="31"/>
    </row>
    <row r="96" ht="22.5" customHeight="1">
      <c r="A96" s="32">
        <v>46102.0</v>
      </c>
      <c r="B96" s="24">
        <f t="shared" si="3"/>
        <v>2026</v>
      </c>
      <c r="C96" s="25" t="s">
        <v>147</v>
      </c>
      <c r="D96" s="24" t="s">
        <v>150</v>
      </c>
      <c r="E96" s="26">
        <v>0.0</v>
      </c>
      <c r="F96" s="26">
        <v>15000.0</v>
      </c>
      <c r="G96" s="26">
        <v>34955.0</v>
      </c>
      <c r="I96" s="31"/>
    </row>
    <row r="97" ht="22.5" customHeight="1">
      <c r="A97" s="33">
        <v>46105.0</v>
      </c>
      <c r="B97" s="24">
        <f t="shared" si="3"/>
        <v>2026</v>
      </c>
      <c r="C97" s="28" t="s">
        <v>147</v>
      </c>
      <c r="D97" s="29" t="s">
        <v>82</v>
      </c>
      <c r="E97" s="30">
        <v>19356.0</v>
      </c>
      <c r="F97" s="30">
        <v>0.0</v>
      </c>
      <c r="G97" s="30">
        <v>15599.0</v>
      </c>
      <c r="I97" s="31"/>
    </row>
    <row r="98" ht="22.5" customHeight="1">
      <c r="A98" s="32">
        <v>46107.0</v>
      </c>
      <c r="B98" s="24">
        <f t="shared" si="3"/>
        <v>2026</v>
      </c>
      <c r="C98" s="25" t="s">
        <v>147</v>
      </c>
      <c r="D98" s="24" t="s">
        <v>151</v>
      </c>
      <c r="E98" s="26">
        <v>0.0</v>
      </c>
      <c r="F98" s="26">
        <v>13216.0</v>
      </c>
      <c r="G98" s="26">
        <v>28815.0</v>
      </c>
      <c r="I98" s="31"/>
    </row>
    <row r="99" ht="22.5" customHeight="1">
      <c r="A99" s="33">
        <v>46107.0</v>
      </c>
      <c r="B99" s="24">
        <f t="shared" si="3"/>
        <v>2026</v>
      </c>
      <c r="C99" s="28" t="s">
        <v>147</v>
      </c>
      <c r="D99" s="29" t="s">
        <v>152</v>
      </c>
      <c r="E99" s="30">
        <v>0.0</v>
      </c>
      <c r="F99" s="30">
        <v>8496.0</v>
      </c>
      <c r="G99" s="30">
        <v>37311.0</v>
      </c>
      <c r="I99" s="31"/>
    </row>
    <row r="100" ht="22.5" customHeight="1">
      <c r="A100" s="32">
        <v>46109.0</v>
      </c>
      <c r="B100" s="24">
        <f t="shared" si="3"/>
        <v>2026</v>
      </c>
      <c r="C100" s="25" t="s">
        <v>147</v>
      </c>
      <c r="D100" s="24" t="s">
        <v>153</v>
      </c>
      <c r="E100" s="26">
        <v>0.0</v>
      </c>
      <c r="F100" s="26">
        <v>8180.0</v>
      </c>
      <c r="G100" s="26">
        <v>45491.0</v>
      </c>
      <c r="I100" s="31"/>
    </row>
    <row r="101" ht="22.5" customHeight="1">
      <c r="A101" s="33">
        <v>46111.0</v>
      </c>
      <c r="B101" s="24">
        <f t="shared" si="3"/>
        <v>2026</v>
      </c>
      <c r="C101" s="28" t="s">
        <v>147</v>
      </c>
      <c r="D101" s="29" t="s">
        <v>154</v>
      </c>
      <c r="E101" s="30">
        <v>0.0</v>
      </c>
      <c r="F101" s="30">
        <v>8978.0</v>
      </c>
      <c r="G101" s="30">
        <v>54469.0</v>
      </c>
      <c r="I101" s="31"/>
    </row>
    <row r="102" ht="22.5" customHeight="1">
      <c r="A102" s="32">
        <v>46113.0</v>
      </c>
      <c r="B102" s="24">
        <f t="shared" si="3"/>
        <v>2026</v>
      </c>
      <c r="C102" s="25" t="s">
        <v>147</v>
      </c>
      <c r="D102" s="24" t="s">
        <v>71</v>
      </c>
      <c r="E102" s="26">
        <v>0.0</v>
      </c>
      <c r="F102" s="26">
        <v>0.0</v>
      </c>
      <c r="G102" s="26">
        <v>0.0</v>
      </c>
      <c r="I102" s="31"/>
    </row>
    <row r="103" ht="22.5" customHeight="1">
      <c r="A103" s="33">
        <v>46114.0</v>
      </c>
      <c r="B103" s="24">
        <f t="shared" si="3"/>
        <v>2026</v>
      </c>
      <c r="C103" s="28" t="s">
        <v>147</v>
      </c>
      <c r="D103" s="29" t="s">
        <v>155</v>
      </c>
      <c r="E103" s="30">
        <v>0.0</v>
      </c>
      <c r="F103" s="30">
        <v>11328.0</v>
      </c>
      <c r="G103" s="30">
        <v>65797.0</v>
      </c>
      <c r="I103" s="31"/>
    </row>
    <row r="104" ht="22.5" customHeight="1">
      <c r="A104" s="32">
        <v>46115.0</v>
      </c>
      <c r="B104" s="24">
        <f t="shared" si="3"/>
        <v>2026</v>
      </c>
      <c r="C104" s="25" t="s">
        <v>147</v>
      </c>
      <c r="D104" s="24" t="s">
        <v>156</v>
      </c>
      <c r="E104" s="26">
        <v>0.0</v>
      </c>
      <c r="F104" s="26">
        <v>9440.0</v>
      </c>
      <c r="G104" s="26">
        <v>75237.0</v>
      </c>
      <c r="I104" s="31"/>
    </row>
    <row r="105" ht="22.5" customHeight="1">
      <c r="A105" s="33">
        <v>46116.0</v>
      </c>
      <c r="B105" s="24">
        <f t="shared" si="3"/>
        <v>2026</v>
      </c>
      <c r="C105" s="28" t="s">
        <v>147</v>
      </c>
      <c r="D105" s="29" t="s">
        <v>157</v>
      </c>
      <c r="E105" s="30">
        <v>0.0</v>
      </c>
      <c r="F105" s="30">
        <v>4720.0</v>
      </c>
      <c r="G105" s="30">
        <v>79957.0</v>
      </c>
      <c r="I105" s="31"/>
    </row>
    <row r="106" ht="22.5" customHeight="1">
      <c r="A106" s="32">
        <v>46116.0</v>
      </c>
      <c r="B106" s="24">
        <f t="shared" si="3"/>
        <v>2026</v>
      </c>
      <c r="C106" s="25" t="s">
        <v>147</v>
      </c>
      <c r="D106" s="24" t="s">
        <v>158</v>
      </c>
      <c r="E106" s="26">
        <v>0.0</v>
      </c>
      <c r="F106" s="26">
        <v>4720.0</v>
      </c>
      <c r="G106" s="26">
        <v>84677.0</v>
      </c>
      <c r="I106" s="31"/>
    </row>
    <row r="107" ht="22.5" customHeight="1">
      <c r="A107" s="33">
        <v>46122.0</v>
      </c>
      <c r="B107" s="24">
        <f t="shared" si="3"/>
        <v>2026</v>
      </c>
      <c r="C107" s="28" t="s">
        <v>147</v>
      </c>
      <c r="D107" s="29" t="s">
        <v>159</v>
      </c>
      <c r="E107" s="30">
        <v>0.0</v>
      </c>
      <c r="F107" s="30">
        <v>14160.0</v>
      </c>
      <c r="G107" s="30">
        <v>98837.0</v>
      </c>
      <c r="I107" s="31"/>
    </row>
    <row r="108" ht="22.5" customHeight="1">
      <c r="A108" s="32">
        <v>46127.0</v>
      </c>
      <c r="B108" s="24">
        <f t="shared" si="3"/>
        <v>2026</v>
      </c>
      <c r="C108" s="25" t="s">
        <v>147</v>
      </c>
      <c r="D108" s="24" t="s">
        <v>160</v>
      </c>
      <c r="E108" s="26">
        <v>53874.0</v>
      </c>
      <c r="F108" s="26">
        <v>0.0</v>
      </c>
      <c r="G108" s="26">
        <v>44963.0</v>
      </c>
      <c r="I108" s="31"/>
    </row>
    <row r="109" ht="22.5" customHeight="1">
      <c r="A109" s="38">
        <v>45748.0</v>
      </c>
      <c r="B109" s="35">
        <f t="shared" si="3"/>
        <v>2025</v>
      </c>
      <c r="C109" s="39" t="s">
        <v>161</v>
      </c>
      <c r="D109" s="40" t="s">
        <v>71</v>
      </c>
      <c r="E109" s="41">
        <v>0.0</v>
      </c>
      <c r="F109" s="41">
        <v>0.0</v>
      </c>
      <c r="G109" s="41">
        <v>0.0</v>
      </c>
      <c r="I109" s="31"/>
    </row>
    <row r="110" ht="22.5" customHeight="1">
      <c r="A110" s="34">
        <v>46072.0</v>
      </c>
      <c r="B110" s="35">
        <f t="shared" si="3"/>
        <v>2026</v>
      </c>
      <c r="C110" s="36" t="s">
        <v>161</v>
      </c>
      <c r="D110" s="35" t="s">
        <v>162</v>
      </c>
      <c r="E110" s="37">
        <v>0.0</v>
      </c>
      <c r="F110" s="37">
        <v>26489.0</v>
      </c>
      <c r="G110" s="37">
        <v>26489.0</v>
      </c>
      <c r="I110" s="31"/>
    </row>
    <row r="111" ht="22.5" customHeight="1">
      <c r="A111" s="38">
        <v>46073.0</v>
      </c>
      <c r="B111" s="35">
        <f t="shared" si="3"/>
        <v>2026</v>
      </c>
      <c r="C111" s="39" t="s">
        <v>161</v>
      </c>
      <c r="D111" s="40" t="s">
        <v>163</v>
      </c>
      <c r="E111" s="41">
        <v>0.0</v>
      </c>
      <c r="F111" s="41">
        <v>11853.0</v>
      </c>
      <c r="G111" s="41">
        <v>38342.0</v>
      </c>
      <c r="I111" s="31"/>
    </row>
    <row r="112" ht="22.5" customHeight="1">
      <c r="A112" s="34">
        <v>46074.0</v>
      </c>
      <c r="B112" s="35">
        <f t="shared" si="3"/>
        <v>2026</v>
      </c>
      <c r="C112" s="36" t="s">
        <v>161</v>
      </c>
      <c r="D112" s="35" t="s">
        <v>164</v>
      </c>
      <c r="E112" s="37">
        <v>0.0</v>
      </c>
      <c r="F112" s="37">
        <v>23897.0</v>
      </c>
      <c r="G112" s="37">
        <v>62239.0</v>
      </c>
      <c r="I112" s="31"/>
    </row>
    <row r="113" ht="22.5" customHeight="1">
      <c r="A113" s="38">
        <v>46076.0</v>
      </c>
      <c r="B113" s="35">
        <f t="shared" si="3"/>
        <v>2026</v>
      </c>
      <c r="C113" s="39" t="s">
        <v>161</v>
      </c>
      <c r="D113" s="40" t="s">
        <v>165</v>
      </c>
      <c r="E113" s="41">
        <v>0.0</v>
      </c>
      <c r="F113" s="41">
        <v>15710.0</v>
      </c>
      <c r="G113" s="41">
        <v>77949.0</v>
      </c>
      <c r="I113" s="31"/>
    </row>
    <row r="114" ht="22.5" customHeight="1">
      <c r="A114" s="34">
        <v>46077.0</v>
      </c>
      <c r="B114" s="35">
        <f t="shared" si="3"/>
        <v>2026</v>
      </c>
      <c r="C114" s="36" t="s">
        <v>161</v>
      </c>
      <c r="D114" s="35" t="s">
        <v>166</v>
      </c>
      <c r="E114" s="37">
        <v>0.0</v>
      </c>
      <c r="F114" s="37">
        <v>23888.0</v>
      </c>
      <c r="G114" s="37">
        <v>101837.0</v>
      </c>
      <c r="I114" s="31"/>
    </row>
    <row r="115" ht="22.5" customHeight="1">
      <c r="A115" s="38">
        <v>46078.0</v>
      </c>
      <c r="B115" s="35">
        <f t="shared" si="3"/>
        <v>2026</v>
      </c>
      <c r="C115" s="39" t="s">
        <v>161</v>
      </c>
      <c r="D115" s="40" t="s">
        <v>167</v>
      </c>
      <c r="E115" s="41">
        <v>0.0</v>
      </c>
      <c r="F115" s="41">
        <v>28100.0</v>
      </c>
      <c r="G115" s="41">
        <v>129937.0</v>
      </c>
      <c r="I115" s="31"/>
    </row>
    <row r="116" ht="22.5" customHeight="1">
      <c r="A116" s="34">
        <v>46080.0</v>
      </c>
      <c r="B116" s="35">
        <f t="shared" si="3"/>
        <v>2026</v>
      </c>
      <c r="C116" s="36" t="s">
        <v>161</v>
      </c>
      <c r="D116" s="35" t="s">
        <v>168</v>
      </c>
      <c r="E116" s="37">
        <v>0.0</v>
      </c>
      <c r="F116" s="37">
        <v>23615.0</v>
      </c>
      <c r="G116" s="37">
        <v>153552.0</v>
      </c>
      <c r="I116" s="31"/>
    </row>
    <row r="117" ht="22.5" customHeight="1">
      <c r="A117" s="38">
        <v>46083.0</v>
      </c>
      <c r="B117" s="35">
        <f t="shared" si="3"/>
        <v>2026</v>
      </c>
      <c r="C117" s="39" t="s">
        <v>161</v>
      </c>
      <c r="D117" s="40" t="s">
        <v>169</v>
      </c>
      <c r="E117" s="41">
        <v>0.0</v>
      </c>
      <c r="F117" s="41">
        <v>32471.0</v>
      </c>
      <c r="G117" s="41">
        <v>186023.0</v>
      </c>
      <c r="I117" s="31"/>
    </row>
    <row r="118" ht="22.5" customHeight="1">
      <c r="A118" s="50">
        <v>46123.0</v>
      </c>
      <c r="B118" s="43">
        <v>2026.0</v>
      </c>
      <c r="C118" s="44" t="s">
        <v>161</v>
      </c>
      <c r="D118" s="45" t="s">
        <v>146</v>
      </c>
      <c r="E118" s="43">
        <v>100000.0</v>
      </c>
      <c r="F118" s="51"/>
      <c r="G118" s="52">
        <f>G117-E118</f>
        <v>86023</v>
      </c>
      <c r="I118" s="31"/>
    </row>
    <row r="119" ht="22.5" customHeight="1">
      <c r="A119" s="32">
        <v>45748.0</v>
      </c>
      <c r="B119" s="24">
        <f t="shared" ref="B119:B475" si="4">YEAR(A119)</f>
        <v>2025</v>
      </c>
      <c r="C119" s="25" t="s">
        <v>170</v>
      </c>
      <c r="D119" s="24" t="s">
        <v>71</v>
      </c>
      <c r="E119" s="26">
        <v>0.0</v>
      </c>
      <c r="F119" s="26">
        <v>0.0</v>
      </c>
      <c r="G119" s="26">
        <v>0.0</v>
      </c>
      <c r="I119" s="31"/>
    </row>
    <row r="120" ht="22.5" customHeight="1">
      <c r="A120" s="33">
        <v>45762.0</v>
      </c>
      <c r="B120" s="24">
        <f t="shared" si="4"/>
        <v>2025</v>
      </c>
      <c r="C120" s="28" t="s">
        <v>170</v>
      </c>
      <c r="D120" s="29" t="s">
        <v>134</v>
      </c>
      <c r="E120" s="30">
        <v>0.0</v>
      </c>
      <c r="F120" s="30">
        <v>6221.0</v>
      </c>
      <c r="G120" s="30">
        <v>6221.0</v>
      </c>
      <c r="I120" s="31"/>
    </row>
    <row r="121" ht="22.5" customHeight="1">
      <c r="A121" s="32">
        <v>45766.0</v>
      </c>
      <c r="B121" s="24">
        <f t="shared" si="4"/>
        <v>2025</v>
      </c>
      <c r="C121" s="25" t="s">
        <v>170</v>
      </c>
      <c r="D121" s="24" t="s">
        <v>78</v>
      </c>
      <c r="E121" s="26">
        <v>6221.0</v>
      </c>
      <c r="F121" s="26">
        <v>0.0</v>
      </c>
      <c r="G121" s="26">
        <v>0.0</v>
      </c>
      <c r="I121" s="31"/>
    </row>
    <row r="122" ht="22.5" customHeight="1">
      <c r="A122" s="33">
        <v>45766.0</v>
      </c>
      <c r="B122" s="24">
        <f t="shared" si="4"/>
        <v>2025</v>
      </c>
      <c r="C122" s="28" t="s">
        <v>170</v>
      </c>
      <c r="D122" s="29" t="s">
        <v>171</v>
      </c>
      <c r="E122" s="30">
        <v>0.0</v>
      </c>
      <c r="F122" s="30">
        <v>10404.0</v>
      </c>
      <c r="G122" s="30">
        <v>10404.0</v>
      </c>
      <c r="I122" s="31"/>
    </row>
    <row r="123" ht="22.5" customHeight="1">
      <c r="A123" s="32">
        <v>45770.0</v>
      </c>
      <c r="B123" s="24">
        <f t="shared" si="4"/>
        <v>2025</v>
      </c>
      <c r="C123" s="25" t="s">
        <v>170</v>
      </c>
      <c r="D123" s="24" t="s">
        <v>78</v>
      </c>
      <c r="E123" s="26">
        <v>13496.0</v>
      </c>
      <c r="F123" s="26">
        <v>0.0</v>
      </c>
      <c r="G123" s="26">
        <v>-3092.0</v>
      </c>
      <c r="I123" s="31"/>
    </row>
    <row r="124" ht="22.5" customHeight="1">
      <c r="A124" s="33">
        <v>45770.0</v>
      </c>
      <c r="B124" s="24">
        <f t="shared" si="4"/>
        <v>2025</v>
      </c>
      <c r="C124" s="28" t="s">
        <v>170</v>
      </c>
      <c r="D124" s="29" t="s">
        <v>172</v>
      </c>
      <c r="E124" s="30">
        <v>0.0</v>
      </c>
      <c r="F124" s="30">
        <v>3092.0</v>
      </c>
      <c r="G124" s="30">
        <v>0.0</v>
      </c>
      <c r="I124" s="31"/>
    </row>
    <row r="125" ht="22.5" customHeight="1">
      <c r="A125" s="32">
        <v>45775.0</v>
      </c>
      <c r="B125" s="24">
        <f t="shared" si="4"/>
        <v>2025</v>
      </c>
      <c r="C125" s="25" t="s">
        <v>170</v>
      </c>
      <c r="D125" s="24" t="s">
        <v>173</v>
      </c>
      <c r="E125" s="26">
        <v>0.0</v>
      </c>
      <c r="F125" s="26">
        <v>3786.0</v>
      </c>
      <c r="G125" s="26">
        <v>3786.0</v>
      </c>
      <c r="I125" s="31"/>
    </row>
    <row r="126" ht="22.5" customHeight="1">
      <c r="A126" s="33">
        <v>45784.0</v>
      </c>
      <c r="B126" s="24">
        <f t="shared" si="4"/>
        <v>2025</v>
      </c>
      <c r="C126" s="28" t="s">
        <v>170</v>
      </c>
      <c r="D126" s="29" t="s">
        <v>73</v>
      </c>
      <c r="E126" s="30">
        <v>0.0</v>
      </c>
      <c r="F126" s="30">
        <v>7076.0</v>
      </c>
      <c r="G126" s="30">
        <v>10862.0</v>
      </c>
      <c r="I126" s="31"/>
    </row>
    <row r="127" ht="22.5" customHeight="1">
      <c r="A127" s="32">
        <v>45786.0</v>
      </c>
      <c r="B127" s="24">
        <f t="shared" si="4"/>
        <v>2025</v>
      </c>
      <c r="C127" s="25" t="s">
        <v>170</v>
      </c>
      <c r="D127" s="24" t="s">
        <v>174</v>
      </c>
      <c r="E127" s="26">
        <v>0.0</v>
      </c>
      <c r="F127" s="26">
        <v>5230.0</v>
      </c>
      <c r="G127" s="26">
        <v>16092.0</v>
      </c>
      <c r="I127" s="31"/>
    </row>
    <row r="128" ht="22.5" customHeight="1">
      <c r="A128" s="33">
        <v>45787.0</v>
      </c>
      <c r="B128" s="24">
        <f t="shared" si="4"/>
        <v>2025</v>
      </c>
      <c r="C128" s="28" t="s">
        <v>170</v>
      </c>
      <c r="D128" s="29" t="s">
        <v>78</v>
      </c>
      <c r="E128" s="30">
        <v>3786.0</v>
      </c>
      <c r="F128" s="30">
        <v>0.0</v>
      </c>
      <c r="G128" s="30">
        <v>12306.0</v>
      </c>
      <c r="I128" s="31"/>
    </row>
    <row r="129" ht="22.5" customHeight="1">
      <c r="A129" s="32">
        <v>45787.0</v>
      </c>
      <c r="B129" s="24">
        <f t="shared" si="4"/>
        <v>2025</v>
      </c>
      <c r="C129" s="25" t="s">
        <v>170</v>
      </c>
      <c r="D129" s="24" t="s">
        <v>78</v>
      </c>
      <c r="E129" s="26">
        <v>7076.0</v>
      </c>
      <c r="F129" s="26">
        <v>0.0</v>
      </c>
      <c r="G129" s="26">
        <v>5230.0</v>
      </c>
      <c r="I129" s="31"/>
    </row>
    <row r="130" ht="22.5" customHeight="1">
      <c r="A130" s="33">
        <v>45792.0</v>
      </c>
      <c r="B130" s="24">
        <f t="shared" si="4"/>
        <v>2025</v>
      </c>
      <c r="C130" s="28" t="s">
        <v>170</v>
      </c>
      <c r="D130" s="29" t="s">
        <v>138</v>
      </c>
      <c r="E130" s="30">
        <v>0.0</v>
      </c>
      <c r="F130" s="30">
        <v>6362.0</v>
      </c>
      <c r="G130" s="30">
        <v>11592.0</v>
      </c>
      <c r="I130" s="31"/>
    </row>
    <row r="131" ht="22.5" customHeight="1">
      <c r="A131" s="32">
        <v>45803.0</v>
      </c>
      <c r="B131" s="24">
        <f t="shared" si="4"/>
        <v>2025</v>
      </c>
      <c r="C131" s="25" t="s">
        <v>170</v>
      </c>
      <c r="D131" s="24" t="s">
        <v>80</v>
      </c>
      <c r="E131" s="26">
        <v>5230.0</v>
      </c>
      <c r="F131" s="26">
        <v>0.0</v>
      </c>
      <c r="G131" s="26">
        <v>6362.0</v>
      </c>
      <c r="I131" s="31"/>
    </row>
    <row r="132" ht="22.5" customHeight="1">
      <c r="A132" s="33">
        <v>45803.0</v>
      </c>
      <c r="B132" s="24">
        <f t="shared" si="4"/>
        <v>2025</v>
      </c>
      <c r="C132" s="28" t="s">
        <v>170</v>
      </c>
      <c r="D132" s="29" t="s">
        <v>80</v>
      </c>
      <c r="E132" s="30">
        <v>6362.0</v>
      </c>
      <c r="F132" s="30">
        <v>0.0</v>
      </c>
      <c r="G132" s="30">
        <v>0.0</v>
      </c>
      <c r="I132" s="31"/>
    </row>
    <row r="133" ht="22.5" customHeight="1">
      <c r="A133" s="32">
        <v>45803.0</v>
      </c>
      <c r="B133" s="24">
        <f t="shared" si="4"/>
        <v>2025</v>
      </c>
      <c r="C133" s="25" t="s">
        <v>170</v>
      </c>
      <c r="D133" s="24" t="s">
        <v>131</v>
      </c>
      <c r="E133" s="26">
        <v>0.0</v>
      </c>
      <c r="F133" s="26">
        <v>5612.0</v>
      </c>
      <c r="G133" s="26">
        <v>5612.0</v>
      </c>
      <c r="I133" s="31"/>
    </row>
    <row r="134" ht="22.5" customHeight="1">
      <c r="A134" s="33">
        <v>45832.0</v>
      </c>
      <c r="B134" s="24">
        <f t="shared" si="4"/>
        <v>2025</v>
      </c>
      <c r="C134" s="28" t="s">
        <v>170</v>
      </c>
      <c r="D134" s="29" t="s">
        <v>175</v>
      </c>
      <c r="E134" s="30">
        <v>0.0</v>
      </c>
      <c r="F134" s="30">
        <v>5746.0</v>
      </c>
      <c r="G134" s="30">
        <v>11358.0</v>
      </c>
      <c r="I134" s="31"/>
    </row>
    <row r="135" ht="22.5" customHeight="1">
      <c r="A135" s="32">
        <v>45836.0</v>
      </c>
      <c r="B135" s="24">
        <f t="shared" si="4"/>
        <v>2025</v>
      </c>
      <c r="C135" s="25" t="s">
        <v>170</v>
      </c>
      <c r="D135" s="24" t="s">
        <v>80</v>
      </c>
      <c r="E135" s="26">
        <v>5612.0</v>
      </c>
      <c r="F135" s="26">
        <v>0.0</v>
      </c>
      <c r="G135" s="26">
        <v>5746.0</v>
      </c>
      <c r="I135" s="31"/>
    </row>
    <row r="136" ht="22.5" customHeight="1">
      <c r="A136" s="33">
        <v>45836.0</v>
      </c>
      <c r="B136" s="24">
        <f t="shared" si="4"/>
        <v>2025</v>
      </c>
      <c r="C136" s="28" t="s">
        <v>170</v>
      </c>
      <c r="D136" s="29" t="s">
        <v>80</v>
      </c>
      <c r="E136" s="30">
        <v>5746.0</v>
      </c>
      <c r="F136" s="30">
        <v>0.0</v>
      </c>
      <c r="G136" s="30">
        <v>0.0</v>
      </c>
      <c r="I136" s="31"/>
    </row>
    <row r="137" ht="22.5" customHeight="1">
      <c r="A137" s="32">
        <v>45842.0</v>
      </c>
      <c r="B137" s="24">
        <f t="shared" si="4"/>
        <v>2025</v>
      </c>
      <c r="C137" s="25" t="s">
        <v>170</v>
      </c>
      <c r="D137" s="24" t="s">
        <v>176</v>
      </c>
      <c r="E137" s="26">
        <v>0.0</v>
      </c>
      <c r="F137" s="26">
        <v>17382.0</v>
      </c>
      <c r="G137" s="26">
        <v>17382.0</v>
      </c>
      <c r="I137" s="31"/>
    </row>
    <row r="138" ht="22.5" customHeight="1">
      <c r="A138" s="33">
        <v>45843.0</v>
      </c>
      <c r="B138" s="24">
        <f t="shared" si="4"/>
        <v>2025</v>
      </c>
      <c r="C138" s="28" t="s">
        <v>170</v>
      </c>
      <c r="D138" s="29" t="s">
        <v>78</v>
      </c>
      <c r="E138" s="30">
        <v>10000.0</v>
      </c>
      <c r="F138" s="30">
        <v>0.0</v>
      </c>
      <c r="G138" s="30">
        <v>7382.0</v>
      </c>
      <c r="I138" s="31"/>
    </row>
    <row r="139" ht="22.5" customHeight="1">
      <c r="A139" s="32">
        <v>45844.0</v>
      </c>
      <c r="B139" s="24">
        <f t="shared" si="4"/>
        <v>2025</v>
      </c>
      <c r="C139" s="25" t="s">
        <v>170</v>
      </c>
      <c r="D139" s="24" t="s">
        <v>78</v>
      </c>
      <c r="E139" s="26">
        <v>7382.0</v>
      </c>
      <c r="F139" s="26">
        <v>0.0</v>
      </c>
      <c r="G139" s="26">
        <v>0.0</v>
      </c>
      <c r="I139" s="31"/>
    </row>
    <row r="140" ht="22.5" customHeight="1">
      <c r="A140" s="33">
        <v>45875.0</v>
      </c>
      <c r="B140" s="24">
        <f t="shared" si="4"/>
        <v>2025</v>
      </c>
      <c r="C140" s="28" t="s">
        <v>170</v>
      </c>
      <c r="D140" s="29" t="s">
        <v>177</v>
      </c>
      <c r="E140" s="30">
        <v>0.0</v>
      </c>
      <c r="F140" s="30">
        <v>6742.0</v>
      </c>
      <c r="G140" s="30">
        <v>6742.0</v>
      </c>
      <c r="I140" s="31"/>
    </row>
    <row r="141" ht="22.5" customHeight="1">
      <c r="A141" s="32">
        <v>45876.0</v>
      </c>
      <c r="B141" s="24">
        <f t="shared" si="4"/>
        <v>2025</v>
      </c>
      <c r="C141" s="25" t="s">
        <v>170</v>
      </c>
      <c r="D141" s="24" t="s">
        <v>78</v>
      </c>
      <c r="E141" s="26">
        <v>6742.0</v>
      </c>
      <c r="F141" s="26">
        <v>0.0</v>
      </c>
      <c r="G141" s="26">
        <v>0.0</v>
      </c>
      <c r="I141" s="31"/>
    </row>
    <row r="142" ht="22.5" customHeight="1">
      <c r="A142" s="33">
        <v>45943.0</v>
      </c>
      <c r="B142" s="24">
        <f t="shared" si="4"/>
        <v>2025</v>
      </c>
      <c r="C142" s="28" t="s">
        <v>170</v>
      </c>
      <c r="D142" s="29" t="s">
        <v>178</v>
      </c>
      <c r="E142" s="30">
        <v>0.0</v>
      </c>
      <c r="F142" s="30">
        <v>15624.0</v>
      </c>
      <c r="G142" s="30">
        <v>15624.0</v>
      </c>
      <c r="I142" s="31"/>
    </row>
    <row r="143" ht="22.5" customHeight="1">
      <c r="A143" s="32">
        <v>45960.0</v>
      </c>
      <c r="B143" s="24">
        <f t="shared" si="4"/>
        <v>2025</v>
      </c>
      <c r="C143" s="25" t="s">
        <v>170</v>
      </c>
      <c r="D143" s="24" t="s">
        <v>179</v>
      </c>
      <c r="E143" s="26">
        <v>0.0</v>
      </c>
      <c r="F143" s="26">
        <v>4554.0</v>
      </c>
      <c r="G143" s="26">
        <v>20178.0</v>
      </c>
      <c r="I143" s="31"/>
    </row>
    <row r="144" ht="22.5" customHeight="1">
      <c r="A144" s="33">
        <v>45973.0</v>
      </c>
      <c r="B144" s="24">
        <f t="shared" si="4"/>
        <v>2025</v>
      </c>
      <c r="C144" s="28" t="s">
        <v>170</v>
      </c>
      <c r="D144" s="29" t="s">
        <v>82</v>
      </c>
      <c r="E144" s="30">
        <v>15624.0</v>
      </c>
      <c r="F144" s="30">
        <v>0.0</v>
      </c>
      <c r="G144" s="30">
        <v>4554.0</v>
      </c>
      <c r="I144" s="31"/>
    </row>
    <row r="145" ht="22.5" customHeight="1">
      <c r="A145" s="32">
        <v>46001.0</v>
      </c>
      <c r="B145" s="24">
        <f t="shared" si="4"/>
        <v>2025</v>
      </c>
      <c r="C145" s="25" t="s">
        <v>170</v>
      </c>
      <c r="D145" s="24" t="s">
        <v>180</v>
      </c>
      <c r="E145" s="26">
        <v>0.0</v>
      </c>
      <c r="F145" s="26">
        <v>7044.0</v>
      </c>
      <c r="G145" s="26">
        <v>11598.0</v>
      </c>
      <c r="I145" s="31"/>
    </row>
    <row r="146" ht="22.5" customHeight="1">
      <c r="A146" s="33">
        <v>46008.0</v>
      </c>
      <c r="B146" s="24">
        <f t="shared" si="4"/>
        <v>2025</v>
      </c>
      <c r="C146" s="28" t="s">
        <v>170</v>
      </c>
      <c r="D146" s="29" t="s">
        <v>82</v>
      </c>
      <c r="E146" s="30">
        <v>7044.0</v>
      </c>
      <c r="F146" s="30">
        <v>0.0</v>
      </c>
      <c r="G146" s="30">
        <v>4554.0</v>
      </c>
      <c r="I146" s="31"/>
    </row>
    <row r="147" ht="22.5" customHeight="1">
      <c r="A147" s="32">
        <v>46016.0</v>
      </c>
      <c r="B147" s="24">
        <f t="shared" si="4"/>
        <v>2025</v>
      </c>
      <c r="C147" s="25" t="s">
        <v>170</v>
      </c>
      <c r="D147" s="24" t="s">
        <v>82</v>
      </c>
      <c r="E147" s="26">
        <v>4554.0</v>
      </c>
      <c r="F147" s="26">
        <v>0.0</v>
      </c>
      <c r="G147" s="26">
        <v>0.0</v>
      </c>
      <c r="I147" s="31"/>
    </row>
    <row r="148" ht="22.5" customHeight="1">
      <c r="A148" s="33">
        <v>46016.0</v>
      </c>
      <c r="B148" s="24">
        <f t="shared" si="4"/>
        <v>2025</v>
      </c>
      <c r="C148" s="28" t="s">
        <v>170</v>
      </c>
      <c r="D148" s="29" t="s">
        <v>181</v>
      </c>
      <c r="E148" s="30">
        <v>0.0</v>
      </c>
      <c r="F148" s="30">
        <v>14798.0</v>
      </c>
      <c r="G148" s="30">
        <v>14798.0</v>
      </c>
      <c r="I148" s="31"/>
    </row>
    <row r="149" ht="22.5" customHeight="1">
      <c r="A149" s="32">
        <v>46053.0</v>
      </c>
      <c r="B149" s="24">
        <f t="shared" si="4"/>
        <v>2026</v>
      </c>
      <c r="C149" s="25" t="s">
        <v>170</v>
      </c>
      <c r="D149" s="24" t="s">
        <v>82</v>
      </c>
      <c r="E149" s="26">
        <v>14798.0</v>
      </c>
      <c r="F149" s="26">
        <v>0.0</v>
      </c>
      <c r="G149" s="26">
        <v>0.0</v>
      </c>
      <c r="I149" s="31"/>
    </row>
    <row r="150" ht="22.5" customHeight="1">
      <c r="A150" s="33">
        <v>46062.0</v>
      </c>
      <c r="B150" s="24">
        <f t="shared" si="4"/>
        <v>2026</v>
      </c>
      <c r="C150" s="28" t="s">
        <v>170</v>
      </c>
      <c r="D150" s="29" t="s">
        <v>182</v>
      </c>
      <c r="E150" s="30">
        <v>0.0</v>
      </c>
      <c r="F150" s="30">
        <v>6938.0</v>
      </c>
      <c r="G150" s="30">
        <v>6938.0</v>
      </c>
      <c r="I150" s="31"/>
    </row>
    <row r="151" ht="22.5" customHeight="1">
      <c r="A151" s="32">
        <v>46064.0</v>
      </c>
      <c r="B151" s="24">
        <f t="shared" si="4"/>
        <v>2026</v>
      </c>
      <c r="C151" s="25" t="s">
        <v>170</v>
      </c>
      <c r="D151" s="24" t="s">
        <v>82</v>
      </c>
      <c r="E151" s="26">
        <v>6938.0</v>
      </c>
      <c r="F151" s="26">
        <v>0.0</v>
      </c>
      <c r="G151" s="26">
        <v>0.0</v>
      </c>
      <c r="I151" s="31"/>
    </row>
    <row r="152" ht="22.5" customHeight="1">
      <c r="A152" s="33">
        <v>46077.0</v>
      </c>
      <c r="B152" s="24">
        <f t="shared" si="4"/>
        <v>2026</v>
      </c>
      <c r="C152" s="28" t="s">
        <v>170</v>
      </c>
      <c r="D152" s="29" t="s">
        <v>183</v>
      </c>
      <c r="E152" s="30">
        <v>0.0</v>
      </c>
      <c r="F152" s="30">
        <v>4318.0</v>
      </c>
      <c r="G152" s="30">
        <v>4318.0</v>
      </c>
      <c r="I152" s="31"/>
    </row>
    <row r="153" ht="22.5" customHeight="1">
      <c r="A153" s="32">
        <v>46088.0</v>
      </c>
      <c r="B153" s="24">
        <f t="shared" si="4"/>
        <v>2026</v>
      </c>
      <c r="C153" s="25" t="s">
        <v>170</v>
      </c>
      <c r="D153" s="24" t="s">
        <v>184</v>
      </c>
      <c r="E153" s="26">
        <v>0.0</v>
      </c>
      <c r="F153" s="26">
        <v>10890.0</v>
      </c>
      <c r="G153" s="26">
        <v>15208.0</v>
      </c>
      <c r="I153" s="31"/>
    </row>
    <row r="154" ht="22.5" customHeight="1">
      <c r="A154" s="33">
        <v>46097.0</v>
      </c>
      <c r="B154" s="24">
        <f t="shared" si="4"/>
        <v>2026</v>
      </c>
      <c r="C154" s="28" t="s">
        <v>170</v>
      </c>
      <c r="D154" s="29" t="s">
        <v>82</v>
      </c>
      <c r="E154" s="30">
        <v>10852.0</v>
      </c>
      <c r="F154" s="30">
        <v>0.0</v>
      </c>
      <c r="G154" s="30">
        <v>4356.0</v>
      </c>
      <c r="I154" s="31"/>
    </row>
    <row r="155" ht="22.5" customHeight="1">
      <c r="A155" s="32">
        <v>45748.0</v>
      </c>
      <c r="B155" s="24">
        <f t="shared" si="4"/>
        <v>2025</v>
      </c>
      <c r="C155" s="25" t="s">
        <v>185</v>
      </c>
      <c r="D155" s="24" t="s">
        <v>71</v>
      </c>
      <c r="E155" s="26">
        <v>0.0</v>
      </c>
      <c r="F155" s="26">
        <v>0.0</v>
      </c>
      <c r="G155" s="26">
        <v>0.0</v>
      </c>
      <c r="I155" s="31"/>
    </row>
    <row r="156" ht="22.5" customHeight="1">
      <c r="A156" s="33">
        <v>45762.0</v>
      </c>
      <c r="B156" s="24">
        <f t="shared" si="4"/>
        <v>2025</v>
      </c>
      <c r="C156" s="28" t="s">
        <v>185</v>
      </c>
      <c r="D156" s="29" t="s">
        <v>186</v>
      </c>
      <c r="E156" s="30">
        <v>0.0</v>
      </c>
      <c r="F156" s="30">
        <v>8580.0</v>
      </c>
      <c r="G156" s="30">
        <v>8580.0</v>
      </c>
      <c r="I156" s="31"/>
    </row>
    <row r="157" ht="22.5" customHeight="1">
      <c r="A157" s="32">
        <v>45780.0</v>
      </c>
      <c r="B157" s="24">
        <f t="shared" si="4"/>
        <v>2025</v>
      </c>
      <c r="C157" s="25" t="s">
        <v>185</v>
      </c>
      <c r="D157" s="24" t="s">
        <v>126</v>
      </c>
      <c r="E157" s="26">
        <v>0.0</v>
      </c>
      <c r="F157" s="26">
        <v>6518.0</v>
      </c>
      <c r="G157" s="26">
        <v>15098.0</v>
      </c>
      <c r="I157" s="31"/>
    </row>
    <row r="158" ht="22.5" customHeight="1">
      <c r="A158" s="33">
        <v>45786.0</v>
      </c>
      <c r="B158" s="24">
        <f t="shared" si="4"/>
        <v>2025</v>
      </c>
      <c r="C158" s="28" t="s">
        <v>185</v>
      </c>
      <c r="D158" s="29" t="s">
        <v>127</v>
      </c>
      <c r="E158" s="30">
        <v>0.0</v>
      </c>
      <c r="F158" s="30">
        <v>6148.0</v>
      </c>
      <c r="G158" s="30">
        <v>21246.0</v>
      </c>
      <c r="I158" s="31"/>
    </row>
    <row r="159" ht="22.5" customHeight="1">
      <c r="A159" s="32">
        <v>45798.0</v>
      </c>
      <c r="B159" s="24">
        <f t="shared" si="4"/>
        <v>2025</v>
      </c>
      <c r="C159" s="25" t="s">
        <v>185</v>
      </c>
      <c r="D159" s="24" t="s">
        <v>143</v>
      </c>
      <c r="E159" s="26">
        <v>0.0</v>
      </c>
      <c r="F159" s="26">
        <v>4424.0</v>
      </c>
      <c r="G159" s="26">
        <v>25670.0</v>
      </c>
      <c r="I159" s="31"/>
    </row>
    <row r="160" ht="22.5" customHeight="1">
      <c r="A160" s="33">
        <v>45803.0</v>
      </c>
      <c r="B160" s="24">
        <f t="shared" si="4"/>
        <v>2025</v>
      </c>
      <c r="C160" s="28" t="s">
        <v>185</v>
      </c>
      <c r="D160" s="29" t="s">
        <v>187</v>
      </c>
      <c r="E160" s="30">
        <v>0.0</v>
      </c>
      <c r="F160" s="30">
        <v>9576.0</v>
      </c>
      <c r="G160" s="30">
        <v>35246.0</v>
      </c>
      <c r="I160" s="31"/>
    </row>
    <row r="161" ht="22.5" customHeight="1">
      <c r="A161" s="32">
        <v>45810.0</v>
      </c>
      <c r="B161" s="24">
        <f t="shared" si="4"/>
        <v>2025</v>
      </c>
      <c r="C161" s="25" t="s">
        <v>185</v>
      </c>
      <c r="D161" s="24" t="s">
        <v>188</v>
      </c>
      <c r="E161" s="26">
        <v>0.0</v>
      </c>
      <c r="F161" s="26">
        <v>10864.0</v>
      </c>
      <c r="G161" s="26">
        <v>46110.0</v>
      </c>
      <c r="I161" s="31"/>
    </row>
    <row r="162" ht="22.5" customHeight="1">
      <c r="A162" s="33">
        <v>45818.0</v>
      </c>
      <c r="B162" s="24">
        <f t="shared" si="4"/>
        <v>2025</v>
      </c>
      <c r="C162" s="28" t="s">
        <v>185</v>
      </c>
      <c r="D162" s="29" t="s">
        <v>189</v>
      </c>
      <c r="E162" s="30">
        <v>0.0</v>
      </c>
      <c r="F162" s="30">
        <v>13406.0</v>
      </c>
      <c r="G162" s="30">
        <v>59516.0</v>
      </c>
      <c r="I162" s="31"/>
    </row>
    <row r="163" ht="22.5" customHeight="1">
      <c r="A163" s="32">
        <v>45843.0</v>
      </c>
      <c r="B163" s="24">
        <f t="shared" si="4"/>
        <v>2025</v>
      </c>
      <c r="C163" s="25" t="s">
        <v>185</v>
      </c>
      <c r="D163" s="24" t="s">
        <v>190</v>
      </c>
      <c r="E163" s="26">
        <v>0.0</v>
      </c>
      <c r="F163" s="26">
        <v>17248.0</v>
      </c>
      <c r="G163" s="26">
        <v>76764.0</v>
      </c>
      <c r="I163" s="31"/>
    </row>
    <row r="164" ht="22.5" customHeight="1">
      <c r="A164" s="33">
        <v>45854.0</v>
      </c>
      <c r="B164" s="24">
        <f t="shared" si="4"/>
        <v>2025</v>
      </c>
      <c r="C164" s="28" t="s">
        <v>185</v>
      </c>
      <c r="D164" s="29" t="s">
        <v>78</v>
      </c>
      <c r="E164" s="30">
        <v>59517.0</v>
      </c>
      <c r="F164" s="30">
        <v>0.0</v>
      </c>
      <c r="G164" s="30">
        <v>17247.0</v>
      </c>
      <c r="I164" s="31"/>
    </row>
    <row r="165" ht="22.5" customHeight="1">
      <c r="A165" s="32">
        <v>45891.0</v>
      </c>
      <c r="B165" s="24">
        <f t="shared" si="4"/>
        <v>2025</v>
      </c>
      <c r="C165" s="25" t="s">
        <v>185</v>
      </c>
      <c r="D165" s="24" t="s">
        <v>191</v>
      </c>
      <c r="E165" s="26">
        <v>0.0</v>
      </c>
      <c r="F165" s="26">
        <v>15658.0</v>
      </c>
      <c r="G165" s="26">
        <v>32905.0</v>
      </c>
      <c r="I165" s="31"/>
    </row>
    <row r="166" ht="22.5" customHeight="1">
      <c r="A166" s="33">
        <v>45906.0</v>
      </c>
      <c r="B166" s="24">
        <f t="shared" si="4"/>
        <v>2025</v>
      </c>
      <c r="C166" s="28" t="s">
        <v>185</v>
      </c>
      <c r="D166" s="29" t="s">
        <v>192</v>
      </c>
      <c r="E166" s="30">
        <v>0.0</v>
      </c>
      <c r="F166" s="30">
        <v>3808.0</v>
      </c>
      <c r="G166" s="30">
        <v>36713.0</v>
      </c>
      <c r="I166" s="31"/>
    </row>
    <row r="167" ht="22.5" customHeight="1">
      <c r="A167" s="32">
        <v>45924.0</v>
      </c>
      <c r="B167" s="24">
        <f t="shared" si="4"/>
        <v>2025</v>
      </c>
      <c r="C167" s="25" t="s">
        <v>185</v>
      </c>
      <c r="D167" s="24" t="s">
        <v>193</v>
      </c>
      <c r="E167" s="26">
        <v>0.0</v>
      </c>
      <c r="F167" s="26">
        <v>11700.0</v>
      </c>
      <c r="G167" s="26">
        <v>48413.0</v>
      </c>
      <c r="I167" s="31"/>
    </row>
    <row r="168" ht="22.5" customHeight="1">
      <c r="A168" s="33">
        <v>45947.0</v>
      </c>
      <c r="B168" s="24">
        <f t="shared" si="4"/>
        <v>2025</v>
      </c>
      <c r="C168" s="28" t="s">
        <v>185</v>
      </c>
      <c r="D168" s="29" t="s">
        <v>80</v>
      </c>
      <c r="E168" s="30">
        <v>36714.0</v>
      </c>
      <c r="F168" s="30">
        <v>0.0</v>
      </c>
      <c r="G168" s="30">
        <v>11699.0</v>
      </c>
      <c r="I168" s="31"/>
    </row>
    <row r="169" ht="22.5" customHeight="1">
      <c r="A169" s="32">
        <v>45980.0</v>
      </c>
      <c r="B169" s="24">
        <f t="shared" si="4"/>
        <v>2025</v>
      </c>
      <c r="C169" s="25" t="s">
        <v>185</v>
      </c>
      <c r="D169" s="24" t="s">
        <v>194</v>
      </c>
      <c r="E169" s="26">
        <v>0.0</v>
      </c>
      <c r="F169" s="26">
        <v>9334.0</v>
      </c>
      <c r="G169" s="26">
        <v>21033.0</v>
      </c>
      <c r="I169" s="31"/>
    </row>
    <row r="170" ht="22.5" customHeight="1">
      <c r="A170" s="33">
        <v>46010.0</v>
      </c>
      <c r="B170" s="24">
        <f t="shared" si="4"/>
        <v>2025</v>
      </c>
      <c r="C170" s="28" t="s">
        <v>185</v>
      </c>
      <c r="D170" s="29" t="s">
        <v>195</v>
      </c>
      <c r="E170" s="30">
        <v>0.0</v>
      </c>
      <c r="F170" s="30">
        <v>7622.0</v>
      </c>
      <c r="G170" s="30">
        <v>28655.0</v>
      </c>
      <c r="I170" s="31"/>
    </row>
    <row r="171" ht="22.5" customHeight="1">
      <c r="A171" s="32">
        <v>46024.0</v>
      </c>
      <c r="B171" s="24">
        <f t="shared" si="4"/>
        <v>2026</v>
      </c>
      <c r="C171" s="25" t="s">
        <v>185</v>
      </c>
      <c r="D171" s="24" t="s">
        <v>82</v>
      </c>
      <c r="E171" s="26">
        <v>21033.0</v>
      </c>
      <c r="F171" s="26">
        <v>0.0</v>
      </c>
      <c r="G171" s="26">
        <v>7622.0</v>
      </c>
      <c r="I171" s="31"/>
    </row>
    <row r="172" ht="22.5" customHeight="1">
      <c r="A172" s="33">
        <v>46071.0</v>
      </c>
      <c r="B172" s="24">
        <f t="shared" si="4"/>
        <v>2026</v>
      </c>
      <c r="C172" s="28" t="s">
        <v>185</v>
      </c>
      <c r="D172" s="29" t="s">
        <v>196</v>
      </c>
      <c r="E172" s="30">
        <v>0.0</v>
      </c>
      <c r="F172" s="30">
        <v>17069.0</v>
      </c>
      <c r="G172" s="30">
        <v>24691.0</v>
      </c>
      <c r="I172" s="31"/>
    </row>
    <row r="173" ht="22.5" customHeight="1">
      <c r="A173" s="32">
        <v>46088.0</v>
      </c>
      <c r="B173" s="24">
        <f t="shared" si="4"/>
        <v>2026</v>
      </c>
      <c r="C173" s="25" t="s">
        <v>185</v>
      </c>
      <c r="D173" s="24" t="s">
        <v>197</v>
      </c>
      <c r="E173" s="26">
        <v>0.0</v>
      </c>
      <c r="F173" s="26">
        <v>16472.0</v>
      </c>
      <c r="G173" s="26">
        <v>41163.0</v>
      </c>
      <c r="I173" s="31"/>
    </row>
    <row r="174" ht="22.5" customHeight="1">
      <c r="A174" s="33">
        <v>46112.0</v>
      </c>
      <c r="B174" s="24">
        <f t="shared" si="4"/>
        <v>2026</v>
      </c>
      <c r="C174" s="28" t="s">
        <v>185</v>
      </c>
      <c r="D174" s="29" t="s">
        <v>198</v>
      </c>
      <c r="E174" s="30">
        <v>0.0</v>
      </c>
      <c r="F174" s="30">
        <v>8314.0</v>
      </c>
      <c r="G174" s="30">
        <v>49477.0</v>
      </c>
      <c r="I174" s="31"/>
    </row>
    <row r="175" ht="22.5" customHeight="1">
      <c r="A175" s="32">
        <v>46112.0</v>
      </c>
      <c r="B175" s="24">
        <f t="shared" si="4"/>
        <v>2026</v>
      </c>
      <c r="C175" s="25" t="s">
        <v>185</v>
      </c>
      <c r="D175" s="24" t="s">
        <v>199</v>
      </c>
      <c r="E175" s="26">
        <v>0.0</v>
      </c>
      <c r="F175" s="26">
        <v>18102.0</v>
      </c>
      <c r="G175" s="26">
        <v>67579.0</v>
      </c>
      <c r="I175" s="31"/>
    </row>
    <row r="176" ht="22.5" customHeight="1">
      <c r="A176" s="33">
        <v>45748.0</v>
      </c>
      <c r="B176" s="24">
        <f t="shared" si="4"/>
        <v>2025</v>
      </c>
      <c r="C176" s="28" t="s">
        <v>200</v>
      </c>
      <c r="D176" s="29" t="s">
        <v>71</v>
      </c>
      <c r="E176" s="30">
        <v>0.0</v>
      </c>
      <c r="F176" s="30">
        <v>16928.0</v>
      </c>
      <c r="G176" s="30">
        <v>16928.0</v>
      </c>
      <c r="I176" s="31"/>
    </row>
    <row r="177" ht="22.5" customHeight="1">
      <c r="A177" s="32">
        <v>45754.0</v>
      </c>
      <c r="B177" s="24">
        <f t="shared" si="4"/>
        <v>2025</v>
      </c>
      <c r="C177" s="25" t="s">
        <v>200</v>
      </c>
      <c r="D177" s="24" t="s">
        <v>201</v>
      </c>
      <c r="E177" s="26">
        <v>0.0</v>
      </c>
      <c r="F177" s="26">
        <v>13440.0</v>
      </c>
      <c r="G177" s="26">
        <v>30368.0</v>
      </c>
      <c r="I177" s="31"/>
    </row>
    <row r="178" ht="22.5" customHeight="1">
      <c r="A178" s="33">
        <v>45787.0</v>
      </c>
      <c r="B178" s="24">
        <f t="shared" si="4"/>
        <v>2025</v>
      </c>
      <c r="C178" s="28" t="s">
        <v>200</v>
      </c>
      <c r="D178" s="29" t="s">
        <v>202</v>
      </c>
      <c r="E178" s="30">
        <v>0.0</v>
      </c>
      <c r="F178" s="30">
        <v>2941.0</v>
      </c>
      <c r="G178" s="30">
        <v>33309.0</v>
      </c>
      <c r="I178" s="31"/>
    </row>
    <row r="179" ht="22.5" customHeight="1">
      <c r="A179" s="32">
        <v>45793.0</v>
      </c>
      <c r="B179" s="24">
        <f t="shared" si="4"/>
        <v>2025</v>
      </c>
      <c r="C179" s="25" t="s">
        <v>200</v>
      </c>
      <c r="D179" s="24" t="s">
        <v>141</v>
      </c>
      <c r="E179" s="26">
        <v>0.0</v>
      </c>
      <c r="F179" s="26">
        <v>5040.0</v>
      </c>
      <c r="G179" s="26">
        <v>38349.0</v>
      </c>
      <c r="I179" s="31"/>
    </row>
    <row r="180" ht="22.5" customHeight="1">
      <c r="A180" s="33">
        <v>45801.0</v>
      </c>
      <c r="B180" s="24">
        <f t="shared" si="4"/>
        <v>2025</v>
      </c>
      <c r="C180" s="28" t="s">
        <v>200</v>
      </c>
      <c r="D180" s="29" t="s">
        <v>80</v>
      </c>
      <c r="E180" s="30">
        <v>31368.0</v>
      </c>
      <c r="F180" s="30">
        <v>0.0</v>
      </c>
      <c r="G180" s="30">
        <v>6981.0</v>
      </c>
      <c r="I180" s="31"/>
    </row>
    <row r="181" ht="22.5" customHeight="1">
      <c r="A181" s="32">
        <v>45804.0</v>
      </c>
      <c r="B181" s="24">
        <f t="shared" si="4"/>
        <v>2025</v>
      </c>
      <c r="C181" s="25" t="s">
        <v>200</v>
      </c>
      <c r="D181" s="24" t="s">
        <v>203</v>
      </c>
      <c r="E181" s="26">
        <v>0.0</v>
      </c>
      <c r="F181" s="26">
        <v>4200.0</v>
      </c>
      <c r="G181" s="26">
        <v>11181.0</v>
      </c>
      <c r="I181" s="31"/>
    </row>
    <row r="182" ht="22.5" customHeight="1">
      <c r="A182" s="33">
        <v>45813.0</v>
      </c>
      <c r="B182" s="24">
        <f t="shared" si="4"/>
        <v>2025</v>
      </c>
      <c r="C182" s="28" t="s">
        <v>200</v>
      </c>
      <c r="D182" s="29" t="s">
        <v>199</v>
      </c>
      <c r="E182" s="30">
        <v>0.0</v>
      </c>
      <c r="F182" s="30">
        <v>6301.0</v>
      </c>
      <c r="G182" s="30">
        <v>17482.0</v>
      </c>
      <c r="I182" s="31"/>
    </row>
    <row r="183" ht="22.5" customHeight="1">
      <c r="A183" s="32">
        <v>45820.0</v>
      </c>
      <c r="B183" s="24">
        <f t="shared" si="4"/>
        <v>2025</v>
      </c>
      <c r="C183" s="25" t="s">
        <v>200</v>
      </c>
      <c r="D183" s="24" t="s">
        <v>204</v>
      </c>
      <c r="E183" s="26">
        <v>0.0</v>
      </c>
      <c r="F183" s="26">
        <v>5040.0</v>
      </c>
      <c r="G183" s="26">
        <v>22522.0</v>
      </c>
      <c r="I183" s="31"/>
    </row>
    <row r="184" ht="22.5" customHeight="1">
      <c r="A184" s="33">
        <v>45822.0</v>
      </c>
      <c r="B184" s="24">
        <f t="shared" si="4"/>
        <v>2025</v>
      </c>
      <c r="C184" s="28" t="s">
        <v>200</v>
      </c>
      <c r="D184" s="29" t="s">
        <v>205</v>
      </c>
      <c r="E184" s="30">
        <v>0.0</v>
      </c>
      <c r="F184" s="30">
        <v>3781.0</v>
      </c>
      <c r="G184" s="30">
        <v>26303.0</v>
      </c>
      <c r="I184" s="31"/>
    </row>
    <row r="185" ht="22.5" customHeight="1">
      <c r="A185" s="32">
        <v>45826.0</v>
      </c>
      <c r="B185" s="24">
        <f t="shared" si="4"/>
        <v>2025</v>
      </c>
      <c r="C185" s="25" t="s">
        <v>200</v>
      </c>
      <c r="D185" s="24" t="s">
        <v>206</v>
      </c>
      <c r="E185" s="26">
        <v>0.0</v>
      </c>
      <c r="F185" s="26">
        <v>3360.0</v>
      </c>
      <c r="G185" s="26">
        <v>29663.0</v>
      </c>
      <c r="I185" s="31"/>
    </row>
    <row r="186" ht="22.5" customHeight="1">
      <c r="A186" s="33">
        <v>45834.0</v>
      </c>
      <c r="B186" s="24">
        <f t="shared" si="4"/>
        <v>2025</v>
      </c>
      <c r="C186" s="28" t="s">
        <v>200</v>
      </c>
      <c r="D186" s="29" t="s">
        <v>207</v>
      </c>
      <c r="E186" s="30">
        <v>0.0</v>
      </c>
      <c r="F186" s="30">
        <v>2941.0</v>
      </c>
      <c r="G186" s="30">
        <v>32604.0</v>
      </c>
      <c r="I186" s="31"/>
    </row>
    <row r="187" ht="22.5" customHeight="1">
      <c r="A187" s="32">
        <v>45836.0</v>
      </c>
      <c r="B187" s="24">
        <f t="shared" si="4"/>
        <v>2025</v>
      </c>
      <c r="C187" s="25" t="s">
        <v>200</v>
      </c>
      <c r="D187" s="24" t="s">
        <v>208</v>
      </c>
      <c r="E187" s="26">
        <v>0.0</v>
      </c>
      <c r="F187" s="26">
        <v>4200.0</v>
      </c>
      <c r="G187" s="26">
        <v>36804.0</v>
      </c>
      <c r="I187" s="31"/>
    </row>
    <row r="188" ht="22.5" customHeight="1">
      <c r="A188" s="33">
        <v>45842.0</v>
      </c>
      <c r="B188" s="24">
        <f t="shared" si="4"/>
        <v>2025</v>
      </c>
      <c r="C188" s="28" t="s">
        <v>200</v>
      </c>
      <c r="D188" s="29" t="s">
        <v>209</v>
      </c>
      <c r="E188" s="30">
        <v>0.0</v>
      </c>
      <c r="F188" s="30">
        <v>8821.0</v>
      </c>
      <c r="G188" s="30">
        <v>45625.0</v>
      </c>
      <c r="I188" s="31"/>
    </row>
    <row r="189" ht="22.5" customHeight="1">
      <c r="A189" s="32">
        <v>45845.0</v>
      </c>
      <c r="B189" s="24">
        <f t="shared" si="4"/>
        <v>2025</v>
      </c>
      <c r="C189" s="25" t="s">
        <v>200</v>
      </c>
      <c r="D189" s="24" t="s">
        <v>78</v>
      </c>
      <c r="E189" s="26">
        <v>15541.0</v>
      </c>
      <c r="F189" s="26">
        <v>0.0</v>
      </c>
      <c r="G189" s="26">
        <v>30084.0</v>
      </c>
      <c r="I189" s="31"/>
    </row>
    <row r="190" ht="22.5" customHeight="1">
      <c r="A190" s="33">
        <v>45849.0</v>
      </c>
      <c r="B190" s="24">
        <f t="shared" si="4"/>
        <v>2025</v>
      </c>
      <c r="C190" s="28" t="s">
        <v>200</v>
      </c>
      <c r="D190" s="29" t="s">
        <v>210</v>
      </c>
      <c r="E190" s="30">
        <v>0.0</v>
      </c>
      <c r="F190" s="30">
        <v>3360.0</v>
      </c>
      <c r="G190" s="30">
        <v>33444.0</v>
      </c>
      <c r="I190" s="31"/>
    </row>
    <row r="191" ht="22.5" customHeight="1">
      <c r="A191" s="32">
        <v>45856.0</v>
      </c>
      <c r="B191" s="24">
        <f t="shared" si="4"/>
        <v>2025</v>
      </c>
      <c r="C191" s="25" t="s">
        <v>200</v>
      </c>
      <c r="D191" s="24" t="s">
        <v>211</v>
      </c>
      <c r="E191" s="26">
        <v>0.0</v>
      </c>
      <c r="F191" s="26">
        <v>2520.0</v>
      </c>
      <c r="G191" s="26">
        <v>35964.0</v>
      </c>
      <c r="I191" s="31"/>
    </row>
    <row r="192" ht="22.5" customHeight="1">
      <c r="A192" s="33">
        <v>45861.0</v>
      </c>
      <c r="B192" s="24">
        <f t="shared" si="4"/>
        <v>2025</v>
      </c>
      <c r="C192" s="28" t="s">
        <v>200</v>
      </c>
      <c r="D192" s="29" t="s">
        <v>212</v>
      </c>
      <c r="E192" s="30">
        <v>0.0</v>
      </c>
      <c r="F192" s="30">
        <v>3360.0</v>
      </c>
      <c r="G192" s="30">
        <v>39324.0</v>
      </c>
      <c r="I192" s="31"/>
    </row>
    <row r="193" ht="22.5" customHeight="1">
      <c r="A193" s="32">
        <v>45864.0</v>
      </c>
      <c r="B193" s="24">
        <f t="shared" si="4"/>
        <v>2025</v>
      </c>
      <c r="C193" s="25" t="s">
        <v>200</v>
      </c>
      <c r="D193" s="24" t="s">
        <v>213</v>
      </c>
      <c r="E193" s="26">
        <v>0.0</v>
      </c>
      <c r="F193" s="26">
        <v>3781.0</v>
      </c>
      <c r="G193" s="26">
        <v>43105.0</v>
      </c>
      <c r="I193" s="31"/>
    </row>
    <row r="194" ht="22.5" customHeight="1">
      <c r="A194" s="33">
        <v>45864.0</v>
      </c>
      <c r="B194" s="24">
        <f t="shared" si="4"/>
        <v>2025</v>
      </c>
      <c r="C194" s="28" t="s">
        <v>200</v>
      </c>
      <c r="D194" s="29" t="s">
        <v>214</v>
      </c>
      <c r="E194" s="30">
        <v>0.0</v>
      </c>
      <c r="F194" s="30">
        <v>4621.0</v>
      </c>
      <c r="G194" s="30">
        <v>47726.0</v>
      </c>
      <c r="I194" s="31"/>
    </row>
    <row r="195" ht="22.5" customHeight="1">
      <c r="A195" s="32">
        <v>45866.0</v>
      </c>
      <c r="B195" s="24">
        <f t="shared" si="4"/>
        <v>2025</v>
      </c>
      <c r="C195" s="25" t="s">
        <v>200</v>
      </c>
      <c r="D195" s="24" t="s">
        <v>78</v>
      </c>
      <c r="E195" s="26">
        <v>31503.0</v>
      </c>
      <c r="F195" s="26">
        <v>0.0</v>
      </c>
      <c r="G195" s="26">
        <v>16223.0</v>
      </c>
      <c r="I195" s="31"/>
    </row>
    <row r="196" ht="22.5" customHeight="1">
      <c r="A196" s="33">
        <v>45877.0</v>
      </c>
      <c r="B196" s="24">
        <f t="shared" si="4"/>
        <v>2025</v>
      </c>
      <c r="C196" s="28" t="s">
        <v>200</v>
      </c>
      <c r="D196" s="29" t="s">
        <v>215</v>
      </c>
      <c r="E196" s="30">
        <v>0.0</v>
      </c>
      <c r="F196" s="30">
        <v>3360.0</v>
      </c>
      <c r="G196" s="30">
        <v>19583.0</v>
      </c>
      <c r="I196" s="31"/>
    </row>
    <row r="197" ht="22.5" customHeight="1">
      <c r="A197" s="32">
        <v>45888.0</v>
      </c>
      <c r="B197" s="24">
        <f t="shared" si="4"/>
        <v>2025</v>
      </c>
      <c r="C197" s="25" t="s">
        <v>200</v>
      </c>
      <c r="D197" s="24" t="s">
        <v>216</v>
      </c>
      <c r="E197" s="26">
        <v>0.0</v>
      </c>
      <c r="F197" s="26">
        <v>7981.0</v>
      </c>
      <c r="G197" s="26">
        <v>27564.0</v>
      </c>
      <c r="I197" s="31"/>
    </row>
    <row r="198" ht="22.5" customHeight="1">
      <c r="A198" s="33">
        <v>45891.0</v>
      </c>
      <c r="B198" s="24">
        <f t="shared" si="4"/>
        <v>2025</v>
      </c>
      <c r="C198" s="28" t="s">
        <v>200</v>
      </c>
      <c r="D198" s="29" t="s">
        <v>217</v>
      </c>
      <c r="E198" s="30">
        <v>0.0</v>
      </c>
      <c r="F198" s="30">
        <v>3360.0</v>
      </c>
      <c r="G198" s="30">
        <v>30924.0</v>
      </c>
      <c r="I198" s="31"/>
    </row>
    <row r="199" ht="22.5" customHeight="1">
      <c r="A199" s="32">
        <v>45895.0</v>
      </c>
      <c r="B199" s="24">
        <f t="shared" si="4"/>
        <v>2025</v>
      </c>
      <c r="C199" s="25" t="s">
        <v>200</v>
      </c>
      <c r="D199" s="24" t="s">
        <v>218</v>
      </c>
      <c r="E199" s="26">
        <v>0.0</v>
      </c>
      <c r="F199" s="26">
        <v>2941.0</v>
      </c>
      <c r="G199" s="26">
        <v>33865.0</v>
      </c>
      <c r="I199" s="31"/>
    </row>
    <row r="200" ht="22.5" customHeight="1">
      <c r="A200" s="33">
        <v>45903.0</v>
      </c>
      <c r="B200" s="24">
        <f t="shared" si="4"/>
        <v>2025</v>
      </c>
      <c r="C200" s="28" t="s">
        <v>200</v>
      </c>
      <c r="D200" s="29" t="s">
        <v>219</v>
      </c>
      <c r="E200" s="30">
        <v>0.0</v>
      </c>
      <c r="F200" s="30">
        <v>4200.0</v>
      </c>
      <c r="G200" s="30">
        <v>38065.0</v>
      </c>
      <c r="I200" s="31"/>
    </row>
    <row r="201" ht="22.5" customHeight="1">
      <c r="A201" s="32">
        <v>45905.0</v>
      </c>
      <c r="B201" s="24">
        <f t="shared" si="4"/>
        <v>2025</v>
      </c>
      <c r="C201" s="25" t="s">
        <v>200</v>
      </c>
      <c r="D201" s="24" t="s">
        <v>82</v>
      </c>
      <c r="E201" s="26">
        <v>31924.0</v>
      </c>
      <c r="F201" s="26">
        <v>0.0</v>
      </c>
      <c r="G201" s="26">
        <v>6141.0</v>
      </c>
      <c r="I201" s="31"/>
    </row>
    <row r="202" ht="22.5" customHeight="1">
      <c r="A202" s="33">
        <v>45912.0</v>
      </c>
      <c r="B202" s="24">
        <f t="shared" si="4"/>
        <v>2025</v>
      </c>
      <c r="C202" s="28" t="s">
        <v>200</v>
      </c>
      <c r="D202" s="29" t="s">
        <v>220</v>
      </c>
      <c r="E202" s="30">
        <v>0.0</v>
      </c>
      <c r="F202" s="30">
        <v>4200.0</v>
      </c>
      <c r="G202" s="30">
        <v>10341.0</v>
      </c>
      <c r="I202" s="31"/>
    </row>
    <row r="203" ht="22.5" customHeight="1">
      <c r="A203" s="32">
        <v>45929.0</v>
      </c>
      <c r="B203" s="24">
        <f t="shared" si="4"/>
        <v>2025</v>
      </c>
      <c r="C203" s="25" t="s">
        <v>200</v>
      </c>
      <c r="D203" s="24" t="s">
        <v>221</v>
      </c>
      <c r="E203" s="26">
        <v>0.0</v>
      </c>
      <c r="F203" s="26">
        <v>4867.0</v>
      </c>
      <c r="G203" s="26">
        <v>15208.0</v>
      </c>
      <c r="I203" s="31"/>
    </row>
    <row r="204" ht="22.5" customHeight="1">
      <c r="A204" s="33">
        <v>45934.0</v>
      </c>
      <c r="B204" s="24">
        <f t="shared" si="4"/>
        <v>2025</v>
      </c>
      <c r="C204" s="28" t="s">
        <v>200</v>
      </c>
      <c r="D204" s="29" t="s">
        <v>222</v>
      </c>
      <c r="E204" s="30">
        <v>0.0</v>
      </c>
      <c r="F204" s="30">
        <v>3781.0</v>
      </c>
      <c r="G204" s="30">
        <v>18989.0</v>
      </c>
      <c r="I204" s="31"/>
    </row>
    <row r="205" ht="22.5" customHeight="1">
      <c r="A205" s="32">
        <v>45936.0</v>
      </c>
      <c r="B205" s="24">
        <f t="shared" si="4"/>
        <v>2025</v>
      </c>
      <c r="C205" s="25" t="s">
        <v>200</v>
      </c>
      <c r="D205" s="24" t="s">
        <v>223</v>
      </c>
      <c r="E205" s="26">
        <v>0.0</v>
      </c>
      <c r="F205" s="26">
        <v>7080.0</v>
      </c>
      <c r="G205" s="26">
        <v>26069.0</v>
      </c>
      <c r="I205" s="31"/>
    </row>
    <row r="206" ht="22.5" customHeight="1">
      <c r="A206" s="33">
        <v>45944.0</v>
      </c>
      <c r="B206" s="24">
        <f t="shared" si="4"/>
        <v>2025</v>
      </c>
      <c r="C206" s="28" t="s">
        <v>200</v>
      </c>
      <c r="D206" s="29" t="s">
        <v>224</v>
      </c>
      <c r="E206" s="30">
        <v>0.0</v>
      </c>
      <c r="F206" s="30">
        <v>4426.0</v>
      </c>
      <c r="G206" s="30">
        <v>30495.0</v>
      </c>
      <c r="I206" s="31"/>
    </row>
    <row r="207" ht="22.5" customHeight="1">
      <c r="A207" s="32">
        <v>45946.0</v>
      </c>
      <c r="B207" s="24">
        <f t="shared" si="4"/>
        <v>2025</v>
      </c>
      <c r="C207" s="25" t="s">
        <v>200</v>
      </c>
      <c r="D207" s="24" t="s">
        <v>80</v>
      </c>
      <c r="E207" s="26">
        <v>15208.0</v>
      </c>
      <c r="F207" s="26">
        <v>0.0</v>
      </c>
      <c r="G207" s="26">
        <v>15287.0</v>
      </c>
      <c r="I207" s="31"/>
    </row>
    <row r="208" ht="22.5" customHeight="1">
      <c r="A208" s="33">
        <v>45954.0</v>
      </c>
      <c r="B208" s="24">
        <f t="shared" si="4"/>
        <v>2025</v>
      </c>
      <c r="C208" s="28" t="s">
        <v>200</v>
      </c>
      <c r="D208" s="29" t="s">
        <v>225</v>
      </c>
      <c r="E208" s="30">
        <v>0.0</v>
      </c>
      <c r="F208" s="30">
        <v>3540.0</v>
      </c>
      <c r="G208" s="30">
        <v>18827.0</v>
      </c>
      <c r="I208" s="31"/>
    </row>
    <row r="209" ht="22.5" customHeight="1">
      <c r="A209" s="32">
        <v>45968.0</v>
      </c>
      <c r="B209" s="24">
        <f t="shared" si="4"/>
        <v>2025</v>
      </c>
      <c r="C209" s="25" t="s">
        <v>200</v>
      </c>
      <c r="D209" s="24" t="s">
        <v>226</v>
      </c>
      <c r="E209" s="26">
        <v>0.0</v>
      </c>
      <c r="F209" s="26">
        <v>3097.0</v>
      </c>
      <c r="G209" s="26">
        <v>21924.0</v>
      </c>
      <c r="I209" s="31"/>
    </row>
    <row r="210" ht="22.5" customHeight="1">
      <c r="A210" s="33">
        <v>45974.0</v>
      </c>
      <c r="B210" s="24">
        <f t="shared" si="4"/>
        <v>2025</v>
      </c>
      <c r="C210" s="28" t="s">
        <v>200</v>
      </c>
      <c r="D210" s="29" t="s">
        <v>80</v>
      </c>
      <c r="E210" s="30">
        <v>14558.0</v>
      </c>
      <c r="F210" s="30">
        <v>0.0</v>
      </c>
      <c r="G210" s="30">
        <v>7366.0</v>
      </c>
      <c r="I210" s="31"/>
    </row>
    <row r="211" ht="22.5" customHeight="1">
      <c r="A211" s="32">
        <v>45995.0</v>
      </c>
      <c r="B211" s="24">
        <f t="shared" si="4"/>
        <v>2025</v>
      </c>
      <c r="C211" s="25" t="s">
        <v>200</v>
      </c>
      <c r="D211" s="24" t="s">
        <v>227</v>
      </c>
      <c r="E211" s="26">
        <v>0.0</v>
      </c>
      <c r="F211" s="26">
        <v>2213.0</v>
      </c>
      <c r="G211" s="26">
        <v>9579.0</v>
      </c>
      <c r="I211" s="31"/>
    </row>
    <row r="212" ht="22.5" customHeight="1">
      <c r="A212" s="33">
        <v>46008.0</v>
      </c>
      <c r="B212" s="24">
        <f t="shared" si="4"/>
        <v>2025</v>
      </c>
      <c r="C212" s="28" t="s">
        <v>200</v>
      </c>
      <c r="D212" s="29" t="s">
        <v>82</v>
      </c>
      <c r="E212" s="30">
        <v>5644.0</v>
      </c>
      <c r="F212" s="30">
        <v>0.0</v>
      </c>
      <c r="G212" s="30">
        <v>3935.0</v>
      </c>
      <c r="I212" s="31"/>
    </row>
    <row r="213" ht="22.5" customHeight="1">
      <c r="A213" s="32">
        <v>46008.0</v>
      </c>
      <c r="B213" s="24">
        <f t="shared" si="4"/>
        <v>2025</v>
      </c>
      <c r="C213" s="25" t="s">
        <v>200</v>
      </c>
      <c r="D213" s="24" t="s">
        <v>228</v>
      </c>
      <c r="E213" s="26">
        <v>0.0</v>
      </c>
      <c r="F213" s="26">
        <v>2656.0</v>
      </c>
      <c r="G213" s="26">
        <v>6591.0</v>
      </c>
      <c r="I213" s="31"/>
    </row>
    <row r="214" ht="22.5" customHeight="1">
      <c r="A214" s="33">
        <v>46015.0</v>
      </c>
      <c r="B214" s="24">
        <f t="shared" si="4"/>
        <v>2025</v>
      </c>
      <c r="C214" s="28" t="s">
        <v>200</v>
      </c>
      <c r="D214" s="29" t="s">
        <v>229</v>
      </c>
      <c r="E214" s="30">
        <v>0.0</v>
      </c>
      <c r="F214" s="30">
        <v>3540.0</v>
      </c>
      <c r="G214" s="30">
        <v>10131.0</v>
      </c>
      <c r="I214" s="31"/>
    </row>
    <row r="215" ht="22.5" customHeight="1">
      <c r="A215" s="32">
        <v>46044.0</v>
      </c>
      <c r="B215" s="24">
        <f t="shared" si="4"/>
        <v>2026</v>
      </c>
      <c r="C215" s="25" t="s">
        <v>200</v>
      </c>
      <c r="D215" s="24" t="s">
        <v>230</v>
      </c>
      <c r="E215" s="26">
        <v>0.0</v>
      </c>
      <c r="F215" s="26">
        <v>11947.0</v>
      </c>
      <c r="G215" s="26">
        <v>22078.0</v>
      </c>
      <c r="I215" s="31"/>
    </row>
    <row r="216" ht="22.5" customHeight="1">
      <c r="A216" s="33">
        <v>46060.0</v>
      </c>
      <c r="B216" s="24">
        <f t="shared" si="4"/>
        <v>2026</v>
      </c>
      <c r="C216" s="28" t="s">
        <v>200</v>
      </c>
      <c r="D216" s="29" t="s">
        <v>82</v>
      </c>
      <c r="E216" s="30">
        <v>17971.0</v>
      </c>
      <c r="F216" s="30">
        <v>0.0</v>
      </c>
      <c r="G216" s="30">
        <v>4107.0</v>
      </c>
      <c r="I216" s="31"/>
    </row>
    <row r="217" ht="22.5" customHeight="1">
      <c r="A217" s="32">
        <v>46098.0</v>
      </c>
      <c r="B217" s="24">
        <f t="shared" si="4"/>
        <v>2026</v>
      </c>
      <c r="C217" s="25" t="s">
        <v>200</v>
      </c>
      <c r="D217" s="24" t="s">
        <v>231</v>
      </c>
      <c r="E217" s="26">
        <v>0.0</v>
      </c>
      <c r="F217" s="26">
        <v>3983.0</v>
      </c>
      <c r="G217" s="26">
        <v>8090.0</v>
      </c>
      <c r="I217" s="31"/>
    </row>
    <row r="218" ht="22.5" customHeight="1">
      <c r="A218" s="33">
        <v>45748.0</v>
      </c>
      <c r="B218" s="24">
        <f t="shared" si="4"/>
        <v>2025</v>
      </c>
      <c r="C218" s="28" t="s">
        <v>232</v>
      </c>
      <c r="D218" s="29" t="s">
        <v>71</v>
      </c>
      <c r="E218" s="30">
        <v>0.0</v>
      </c>
      <c r="F218" s="30">
        <v>0.0</v>
      </c>
      <c r="G218" s="30">
        <v>0.0</v>
      </c>
      <c r="I218" s="31"/>
    </row>
    <row r="219" ht="22.5" customHeight="1">
      <c r="A219" s="32">
        <v>46095.0</v>
      </c>
      <c r="B219" s="24">
        <f t="shared" si="4"/>
        <v>2026</v>
      </c>
      <c r="C219" s="25" t="s">
        <v>232</v>
      </c>
      <c r="D219" s="24" t="s">
        <v>233</v>
      </c>
      <c r="E219" s="26">
        <v>0.0</v>
      </c>
      <c r="F219" s="26">
        <v>5079.0</v>
      </c>
      <c r="G219" s="26">
        <v>5079.0</v>
      </c>
      <c r="I219" s="31"/>
    </row>
    <row r="220" ht="22.5" customHeight="1">
      <c r="A220" s="33">
        <v>46099.0</v>
      </c>
      <c r="B220" s="24">
        <f t="shared" si="4"/>
        <v>2026</v>
      </c>
      <c r="C220" s="28" t="s">
        <v>232</v>
      </c>
      <c r="D220" s="29" t="s">
        <v>234</v>
      </c>
      <c r="E220" s="30">
        <v>0.0</v>
      </c>
      <c r="F220" s="30">
        <v>13876.0</v>
      </c>
      <c r="G220" s="30">
        <v>18955.0</v>
      </c>
      <c r="I220" s="31"/>
    </row>
    <row r="221" ht="22.5" customHeight="1">
      <c r="A221" s="32">
        <v>46100.0</v>
      </c>
      <c r="B221" s="24">
        <f t="shared" si="4"/>
        <v>2026</v>
      </c>
      <c r="C221" s="25" t="s">
        <v>232</v>
      </c>
      <c r="D221" s="24" t="s">
        <v>174</v>
      </c>
      <c r="E221" s="26">
        <v>0.0</v>
      </c>
      <c r="F221" s="26">
        <v>24036.0</v>
      </c>
      <c r="G221" s="26">
        <v>42991.0</v>
      </c>
      <c r="I221" s="31"/>
    </row>
    <row r="222" ht="22.5" customHeight="1">
      <c r="A222" s="33">
        <v>46107.0</v>
      </c>
      <c r="B222" s="24">
        <f t="shared" si="4"/>
        <v>2026</v>
      </c>
      <c r="C222" s="28" t="s">
        <v>232</v>
      </c>
      <c r="D222" s="29" t="s">
        <v>79</v>
      </c>
      <c r="E222" s="30">
        <v>0.0</v>
      </c>
      <c r="F222" s="30">
        <v>35930.0</v>
      </c>
      <c r="G222" s="30">
        <v>78921.0</v>
      </c>
      <c r="I222" s="31"/>
    </row>
    <row r="223" ht="22.5" customHeight="1">
      <c r="A223" s="32">
        <v>46109.0</v>
      </c>
      <c r="B223" s="24">
        <f t="shared" si="4"/>
        <v>2026</v>
      </c>
      <c r="C223" s="25" t="s">
        <v>232</v>
      </c>
      <c r="D223" s="24" t="s">
        <v>203</v>
      </c>
      <c r="E223" s="26">
        <v>0.0</v>
      </c>
      <c r="F223" s="26">
        <v>35807.0</v>
      </c>
      <c r="G223" s="26">
        <v>114728.0</v>
      </c>
      <c r="I223" s="31"/>
    </row>
    <row r="224" ht="22.5" customHeight="1">
      <c r="A224" s="33">
        <v>46111.0</v>
      </c>
      <c r="B224" s="24">
        <f t="shared" si="4"/>
        <v>2026</v>
      </c>
      <c r="C224" s="28" t="s">
        <v>232</v>
      </c>
      <c r="D224" s="29" t="s">
        <v>235</v>
      </c>
      <c r="E224" s="30">
        <v>0.0</v>
      </c>
      <c r="F224" s="30">
        <v>41259.0</v>
      </c>
      <c r="G224" s="30">
        <v>155987.0</v>
      </c>
      <c r="I224" s="31"/>
    </row>
    <row r="225" ht="22.5" customHeight="1">
      <c r="A225" s="32">
        <v>45748.0</v>
      </c>
      <c r="B225" s="24">
        <f t="shared" si="4"/>
        <v>2025</v>
      </c>
      <c r="C225" s="25" t="s">
        <v>236</v>
      </c>
      <c r="D225" s="24" t="s">
        <v>71</v>
      </c>
      <c r="E225" s="26">
        <v>0.0</v>
      </c>
      <c r="F225" s="26">
        <v>0.0</v>
      </c>
      <c r="G225" s="26">
        <v>0.0</v>
      </c>
      <c r="I225" s="31"/>
    </row>
    <row r="226" ht="22.5" customHeight="1">
      <c r="A226" s="33">
        <v>46078.0</v>
      </c>
      <c r="B226" s="24">
        <f t="shared" si="4"/>
        <v>2026</v>
      </c>
      <c r="C226" s="28" t="s">
        <v>236</v>
      </c>
      <c r="D226" s="29" t="s">
        <v>237</v>
      </c>
      <c r="E226" s="30">
        <v>0.0</v>
      </c>
      <c r="F226" s="30">
        <v>5507.0</v>
      </c>
      <c r="G226" s="30">
        <v>5507.0</v>
      </c>
      <c r="I226" s="31"/>
    </row>
    <row r="227" ht="22.5" customHeight="1">
      <c r="A227" s="32">
        <v>46080.0</v>
      </c>
      <c r="B227" s="24">
        <f t="shared" si="4"/>
        <v>2026</v>
      </c>
      <c r="C227" s="25" t="s">
        <v>236</v>
      </c>
      <c r="D227" s="24" t="s">
        <v>83</v>
      </c>
      <c r="E227" s="26">
        <v>600.0</v>
      </c>
      <c r="F227" s="26">
        <v>0.0</v>
      </c>
      <c r="G227" s="26">
        <v>4907.0</v>
      </c>
      <c r="I227" s="31"/>
    </row>
    <row r="228" ht="22.5" customHeight="1">
      <c r="A228" s="33">
        <v>46080.0</v>
      </c>
      <c r="B228" s="24">
        <f t="shared" si="4"/>
        <v>2026</v>
      </c>
      <c r="C228" s="28" t="s">
        <v>236</v>
      </c>
      <c r="D228" s="29" t="s">
        <v>238</v>
      </c>
      <c r="E228" s="30">
        <v>0.0</v>
      </c>
      <c r="F228" s="30">
        <v>10242.0</v>
      </c>
      <c r="G228" s="30">
        <v>15149.0</v>
      </c>
      <c r="I228" s="31"/>
    </row>
    <row r="229" ht="22.5" customHeight="1">
      <c r="A229" s="32">
        <v>46083.0</v>
      </c>
      <c r="B229" s="24">
        <f t="shared" si="4"/>
        <v>2026</v>
      </c>
      <c r="C229" s="25" t="s">
        <v>236</v>
      </c>
      <c r="D229" s="24" t="s">
        <v>239</v>
      </c>
      <c r="E229" s="26">
        <v>0.0</v>
      </c>
      <c r="F229" s="26">
        <v>2601.0</v>
      </c>
      <c r="G229" s="26">
        <v>17750.0</v>
      </c>
      <c r="I229" s="31"/>
    </row>
    <row r="230" ht="22.5" customHeight="1">
      <c r="A230" s="33">
        <v>46084.0</v>
      </c>
      <c r="B230" s="24">
        <f t="shared" si="4"/>
        <v>2026</v>
      </c>
      <c r="C230" s="28" t="s">
        <v>236</v>
      </c>
      <c r="D230" s="29" t="s">
        <v>83</v>
      </c>
      <c r="E230" s="30">
        <v>882.0</v>
      </c>
      <c r="F230" s="30">
        <v>0.0</v>
      </c>
      <c r="G230" s="30">
        <v>16868.0</v>
      </c>
      <c r="I230" s="31"/>
    </row>
    <row r="231" ht="22.5" customHeight="1">
      <c r="A231" s="32">
        <v>46084.0</v>
      </c>
      <c r="B231" s="24">
        <f t="shared" si="4"/>
        <v>2026</v>
      </c>
      <c r="C231" s="25" t="s">
        <v>236</v>
      </c>
      <c r="D231" s="24" t="s">
        <v>201</v>
      </c>
      <c r="E231" s="26">
        <v>0.0</v>
      </c>
      <c r="F231" s="26">
        <v>4922.0</v>
      </c>
      <c r="G231" s="26">
        <v>21790.0</v>
      </c>
      <c r="I231" s="31"/>
    </row>
    <row r="232" ht="22.5" customHeight="1">
      <c r="A232" s="33">
        <v>46091.0</v>
      </c>
      <c r="B232" s="24">
        <f t="shared" si="4"/>
        <v>2026</v>
      </c>
      <c r="C232" s="28" t="s">
        <v>236</v>
      </c>
      <c r="D232" s="29" t="s">
        <v>240</v>
      </c>
      <c r="E232" s="30">
        <v>0.0</v>
      </c>
      <c r="F232" s="30">
        <v>8383.0</v>
      </c>
      <c r="G232" s="30">
        <v>30173.0</v>
      </c>
      <c r="I232" s="31"/>
    </row>
    <row r="233" ht="22.5" customHeight="1">
      <c r="A233" s="32">
        <v>46093.0</v>
      </c>
      <c r="B233" s="24">
        <f t="shared" si="4"/>
        <v>2026</v>
      </c>
      <c r="C233" s="25" t="s">
        <v>236</v>
      </c>
      <c r="D233" s="24" t="s">
        <v>186</v>
      </c>
      <c r="E233" s="26">
        <v>0.0</v>
      </c>
      <c r="F233" s="26">
        <v>3163.0</v>
      </c>
      <c r="G233" s="26">
        <v>33336.0</v>
      </c>
      <c r="I233" s="31"/>
    </row>
    <row r="234" ht="22.5" customHeight="1">
      <c r="A234" s="33">
        <v>46095.0</v>
      </c>
      <c r="B234" s="24">
        <f t="shared" si="4"/>
        <v>2026</v>
      </c>
      <c r="C234" s="28" t="s">
        <v>236</v>
      </c>
      <c r="D234" s="29" t="s">
        <v>172</v>
      </c>
      <c r="E234" s="30">
        <v>0.0</v>
      </c>
      <c r="F234" s="30">
        <v>3186.0</v>
      </c>
      <c r="G234" s="30">
        <v>36522.0</v>
      </c>
      <c r="I234" s="31"/>
    </row>
    <row r="235" ht="22.5" customHeight="1">
      <c r="A235" s="32">
        <v>46098.0</v>
      </c>
      <c r="B235" s="24">
        <f t="shared" si="4"/>
        <v>2026</v>
      </c>
      <c r="C235" s="25" t="s">
        <v>236</v>
      </c>
      <c r="D235" s="24" t="s">
        <v>241</v>
      </c>
      <c r="E235" s="26">
        <v>0.0</v>
      </c>
      <c r="F235" s="26">
        <v>1818.0</v>
      </c>
      <c r="G235" s="26">
        <v>38340.0</v>
      </c>
      <c r="I235" s="31"/>
    </row>
    <row r="236" ht="22.5" customHeight="1">
      <c r="A236" s="33">
        <v>46101.0</v>
      </c>
      <c r="B236" s="24">
        <f t="shared" si="4"/>
        <v>2026</v>
      </c>
      <c r="C236" s="28" t="s">
        <v>236</v>
      </c>
      <c r="D236" s="29" t="s">
        <v>202</v>
      </c>
      <c r="E236" s="30">
        <v>0.0</v>
      </c>
      <c r="F236" s="30">
        <v>4139.0</v>
      </c>
      <c r="G236" s="30">
        <v>42479.0</v>
      </c>
      <c r="I236" s="31"/>
    </row>
    <row r="237" ht="22.5" customHeight="1">
      <c r="A237" s="32">
        <v>46104.0</v>
      </c>
      <c r="B237" s="24">
        <f t="shared" si="4"/>
        <v>2026</v>
      </c>
      <c r="C237" s="25" t="s">
        <v>236</v>
      </c>
      <c r="D237" s="24" t="s">
        <v>108</v>
      </c>
      <c r="E237" s="26">
        <v>0.0</v>
      </c>
      <c r="F237" s="26">
        <v>32105.0</v>
      </c>
      <c r="G237" s="26">
        <v>74584.0</v>
      </c>
      <c r="I237" s="31"/>
    </row>
    <row r="238" ht="22.5" customHeight="1">
      <c r="A238" s="33">
        <v>46109.0</v>
      </c>
      <c r="B238" s="24">
        <f t="shared" si="4"/>
        <v>2026</v>
      </c>
      <c r="C238" s="28" t="s">
        <v>236</v>
      </c>
      <c r="D238" s="29" t="s">
        <v>109</v>
      </c>
      <c r="E238" s="30">
        <v>0.0</v>
      </c>
      <c r="F238" s="30">
        <v>11735.0</v>
      </c>
      <c r="G238" s="30">
        <v>86319.0</v>
      </c>
      <c r="I238" s="31"/>
    </row>
    <row r="239" ht="22.5" customHeight="1">
      <c r="A239" s="32">
        <v>46109.0</v>
      </c>
      <c r="B239" s="24">
        <f t="shared" si="4"/>
        <v>2026</v>
      </c>
      <c r="C239" s="25" t="s">
        <v>236</v>
      </c>
      <c r="D239" s="24" t="s">
        <v>187</v>
      </c>
      <c r="E239" s="26">
        <v>0.0</v>
      </c>
      <c r="F239" s="26">
        <v>5163.0</v>
      </c>
      <c r="G239" s="26">
        <v>91482.0</v>
      </c>
      <c r="I239" s="31"/>
    </row>
    <row r="240" ht="22.5" customHeight="1">
      <c r="A240" s="33">
        <v>46112.0</v>
      </c>
      <c r="B240" s="24">
        <f t="shared" si="4"/>
        <v>2026</v>
      </c>
      <c r="C240" s="28" t="s">
        <v>236</v>
      </c>
      <c r="D240" s="29" t="s">
        <v>82</v>
      </c>
      <c r="E240" s="30">
        <v>15149.0</v>
      </c>
      <c r="F240" s="30">
        <v>0.0</v>
      </c>
      <c r="G240" s="30">
        <v>76333.0</v>
      </c>
      <c r="I240" s="31"/>
    </row>
    <row r="241" ht="22.5" customHeight="1">
      <c r="A241" s="32">
        <v>46112.0</v>
      </c>
      <c r="B241" s="24">
        <f t="shared" si="4"/>
        <v>2026</v>
      </c>
      <c r="C241" s="25" t="s">
        <v>236</v>
      </c>
      <c r="D241" s="24" t="s">
        <v>242</v>
      </c>
      <c r="E241" s="26">
        <v>0.0</v>
      </c>
      <c r="F241" s="26">
        <v>10890.0</v>
      </c>
      <c r="G241" s="26">
        <v>87223.0</v>
      </c>
      <c r="I241" s="31"/>
    </row>
    <row r="242" ht="22.5" customHeight="1">
      <c r="A242" s="33">
        <v>46112.0</v>
      </c>
      <c r="B242" s="24">
        <f t="shared" si="4"/>
        <v>2026</v>
      </c>
      <c r="C242" s="28" t="s">
        <v>236</v>
      </c>
      <c r="D242" s="29" t="s">
        <v>189</v>
      </c>
      <c r="E242" s="30">
        <v>0.0</v>
      </c>
      <c r="F242" s="30">
        <v>4929.0</v>
      </c>
      <c r="G242" s="30">
        <v>92152.0</v>
      </c>
      <c r="I242" s="31"/>
    </row>
    <row r="243" ht="22.5" customHeight="1">
      <c r="A243" s="32">
        <v>45748.0</v>
      </c>
      <c r="B243" s="24">
        <f t="shared" si="4"/>
        <v>2025</v>
      </c>
      <c r="C243" s="25" t="s">
        <v>243</v>
      </c>
      <c r="D243" s="24" t="s">
        <v>71</v>
      </c>
      <c r="E243" s="26">
        <v>0.0</v>
      </c>
      <c r="F243" s="26">
        <v>201339.0</v>
      </c>
      <c r="G243" s="26">
        <v>201339.0</v>
      </c>
      <c r="I243" s="31"/>
    </row>
    <row r="244" ht="22.5" customHeight="1">
      <c r="A244" s="33">
        <v>45751.0</v>
      </c>
      <c r="B244" s="24">
        <f t="shared" si="4"/>
        <v>2025</v>
      </c>
      <c r="C244" s="28" t="s">
        <v>243</v>
      </c>
      <c r="D244" s="29" t="s">
        <v>239</v>
      </c>
      <c r="E244" s="30">
        <v>0.0</v>
      </c>
      <c r="F244" s="30">
        <v>4300.0</v>
      </c>
      <c r="G244" s="30">
        <v>205639.0</v>
      </c>
      <c r="I244" s="31"/>
    </row>
    <row r="245" ht="22.5" customHeight="1">
      <c r="A245" s="32">
        <v>45752.0</v>
      </c>
      <c r="B245" s="24">
        <f t="shared" si="4"/>
        <v>2025</v>
      </c>
      <c r="C245" s="25" t="s">
        <v>243</v>
      </c>
      <c r="D245" s="24" t="s">
        <v>78</v>
      </c>
      <c r="E245" s="26">
        <v>15968.0</v>
      </c>
      <c r="F245" s="26">
        <v>0.0</v>
      </c>
      <c r="G245" s="26">
        <v>189671.0</v>
      </c>
      <c r="I245" s="31"/>
    </row>
    <row r="246" ht="22.5" customHeight="1">
      <c r="A246" s="33">
        <v>45762.0</v>
      </c>
      <c r="B246" s="24">
        <f t="shared" si="4"/>
        <v>2025</v>
      </c>
      <c r="C246" s="28" t="s">
        <v>243</v>
      </c>
      <c r="D246" s="29" t="s">
        <v>78</v>
      </c>
      <c r="E246" s="30">
        <v>24106.0</v>
      </c>
      <c r="F246" s="30">
        <v>0.0</v>
      </c>
      <c r="G246" s="30">
        <v>165565.0</v>
      </c>
      <c r="I246" s="31"/>
    </row>
    <row r="247" ht="22.5" customHeight="1">
      <c r="A247" s="32">
        <v>45768.0</v>
      </c>
      <c r="B247" s="24">
        <f t="shared" si="4"/>
        <v>2025</v>
      </c>
      <c r="C247" s="25" t="s">
        <v>243</v>
      </c>
      <c r="D247" s="24" t="s">
        <v>124</v>
      </c>
      <c r="E247" s="26">
        <v>0.0</v>
      </c>
      <c r="F247" s="26">
        <v>4480.0</v>
      </c>
      <c r="G247" s="26">
        <v>170045.0</v>
      </c>
      <c r="I247" s="31"/>
    </row>
    <row r="248" ht="22.5" customHeight="1">
      <c r="A248" s="33">
        <v>45779.0</v>
      </c>
      <c r="B248" s="24">
        <f t="shared" si="4"/>
        <v>2025</v>
      </c>
      <c r="C248" s="28" t="s">
        <v>243</v>
      </c>
      <c r="D248" s="29" t="s">
        <v>241</v>
      </c>
      <c r="E248" s="30">
        <v>0.0</v>
      </c>
      <c r="F248" s="30">
        <v>4480.0</v>
      </c>
      <c r="G248" s="30">
        <v>174525.0</v>
      </c>
      <c r="I248" s="31"/>
    </row>
    <row r="249" ht="22.5" customHeight="1">
      <c r="A249" s="32">
        <v>45780.0</v>
      </c>
      <c r="B249" s="24">
        <f t="shared" si="4"/>
        <v>2025</v>
      </c>
      <c r="C249" s="25" t="s">
        <v>243</v>
      </c>
      <c r="D249" s="24" t="s">
        <v>234</v>
      </c>
      <c r="E249" s="26">
        <v>0.0</v>
      </c>
      <c r="F249" s="26">
        <v>4534.0</v>
      </c>
      <c r="G249" s="26">
        <v>179059.0</v>
      </c>
      <c r="I249" s="31"/>
    </row>
    <row r="250" ht="22.5" customHeight="1">
      <c r="A250" s="33">
        <v>45789.0</v>
      </c>
      <c r="B250" s="24">
        <f t="shared" si="4"/>
        <v>2025</v>
      </c>
      <c r="C250" s="28" t="s">
        <v>243</v>
      </c>
      <c r="D250" s="29" t="s">
        <v>78</v>
      </c>
      <c r="E250" s="30">
        <v>26966.0</v>
      </c>
      <c r="F250" s="30">
        <v>0.0</v>
      </c>
      <c r="G250" s="30">
        <v>152093.0</v>
      </c>
      <c r="I250" s="31"/>
    </row>
    <row r="251" ht="22.5" customHeight="1">
      <c r="A251" s="32">
        <v>45789.0</v>
      </c>
      <c r="B251" s="24">
        <f t="shared" si="4"/>
        <v>2025</v>
      </c>
      <c r="C251" s="25" t="s">
        <v>243</v>
      </c>
      <c r="D251" s="24" t="s">
        <v>78</v>
      </c>
      <c r="E251" s="26">
        <v>28861.0</v>
      </c>
      <c r="F251" s="26">
        <v>0.0</v>
      </c>
      <c r="G251" s="26">
        <v>123232.0</v>
      </c>
      <c r="I251" s="31"/>
    </row>
    <row r="252" ht="22.5" customHeight="1">
      <c r="A252" s="33">
        <v>45789.0</v>
      </c>
      <c r="B252" s="24">
        <f t="shared" si="4"/>
        <v>2025</v>
      </c>
      <c r="C252" s="28" t="s">
        <v>243</v>
      </c>
      <c r="D252" s="29" t="s">
        <v>128</v>
      </c>
      <c r="E252" s="30">
        <v>0.0</v>
      </c>
      <c r="F252" s="30">
        <v>4928.0</v>
      </c>
      <c r="G252" s="30">
        <v>128160.0</v>
      </c>
      <c r="I252" s="31"/>
    </row>
    <row r="253" ht="22.5" customHeight="1">
      <c r="A253" s="32">
        <v>45789.0</v>
      </c>
      <c r="B253" s="24">
        <f t="shared" si="4"/>
        <v>2025</v>
      </c>
      <c r="C253" s="25" t="s">
        <v>243</v>
      </c>
      <c r="D253" s="24" t="s">
        <v>74</v>
      </c>
      <c r="E253" s="26">
        <v>0.0</v>
      </c>
      <c r="F253" s="26">
        <v>2240.0</v>
      </c>
      <c r="G253" s="26">
        <v>130400.0</v>
      </c>
      <c r="I253" s="31"/>
    </row>
    <row r="254" ht="22.5" customHeight="1">
      <c r="A254" s="33">
        <v>45792.0</v>
      </c>
      <c r="B254" s="24">
        <f t="shared" si="4"/>
        <v>2025</v>
      </c>
      <c r="C254" s="28" t="s">
        <v>243</v>
      </c>
      <c r="D254" s="29" t="s">
        <v>139</v>
      </c>
      <c r="E254" s="30">
        <v>0.0</v>
      </c>
      <c r="F254" s="30">
        <v>4480.0</v>
      </c>
      <c r="G254" s="30">
        <v>134880.0</v>
      </c>
      <c r="I254" s="31"/>
    </row>
    <row r="255" ht="22.5" customHeight="1">
      <c r="A255" s="32">
        <v>45793.0</v>
      </c>
      <c r="B255" s="24">
        <f t="shared" si="4"/>
        <v>2025</v>
      </c>
      <c r="C255" s="25" t="s">
        <v>243</v>
      </c>
      <c r="D255" s="24" t="s">
        <v>80</v>
      </c>
      <c r="E255" s="26">
        <v>13314.0</v>
      </c>
      <c r="F255" s="26">
        <v>0.0</v>
      </c>
      <c r="G255" s="26">
        <v>121566.0</v>
      </c>
      <c r="I255" s="31"/>
    </row>
    <row r="256" ht="22.5" customHeight="1">
      <c r="A256" s="33">
        <v>45796.0</v>
      </c>
      <c r="B256" s="24">
        <f t="shared" si="4"/>
        <v>2025</v>
      </c>
      <c r="C256" s="28" t="s">
        <v>243</v>
      </c>
      <c r="D256" s="29" t="s">
        <v>142</v>
      </c>
      <c r="E256" s="30">
        <v>0.0</v>
      </c>
      <c r="F256" s="30">
        <v>4928.0</v>
      </c>
      <c r="G256" s="30">
        <v>126494.0</v>
      </c>
      <c r="I256" s="31"/>
    </row>
    <row r="257" ht="22.5" customHeight="1">
      <c r="A257" s="32">
        <v>45797.0</v>
      </c>
      <c r="B257" s="24">
        <f t="shared" si="4"/>
        <v>2025</v>
      </c>
      <c r="C257" s="25" t="s">
        <v>243</v>
      </c>
      <c r="D257" s="24" t="s">
        <v>130</v>
      </c>
      <c r="E257" s="26">
        <v>0.0</v>
      </c>
      <c r="F257" s="26">
        <v>4032.0</v>
      </c>
      <c r="G257" s="26">
        <v>130526.0</v>
      </c>
      <c r="I257" s="31"/>
    </row>
    <row r="258" ht="22.5" customHeight="1">
      <c r="A258" s="33">
        <v>45799.0</v>
      </c>
      <c r="B258" s="24">
        <f t="shared" si="4"/>
        <v>2025</v>
      </c>
      <c r="C258" s="28" t="s">
        <v>243</v>
      </c>
      <c r="D258" s="29" t="s">
        <v>80</v>
      </c>
      <c r="E258" s="30">
        <v>17527.0</v>
      </c>
      <c r="F258" s="30">
        <v>0.0</v>
      </c>
      <c r="G258" s="30">
        <v>112999.0</v>
      </c>
      <c r="I258" s="31"/>
    </row>
    <row r="259" ht="22.5" customHeight="1">
      <c r="A259" s="32">
        <v>45819.0</v>
      </c>
      <c r="B259" s="24">
        <f t="shared" si="4"/>
        <v>2025</v>
      </c>
      <c r="C259" s="25" t="s">
        <v>243</v>
      </c>
      <c r="D259" s="24" t="s">
        <v>244</v>
      </c>
      <c r="E259" s="26">
        <v>0.0</v>
      </c>
      <c r="F259" s="26">
        <v>798.0</v>
      </c>
      <c r="G259" s="26">
        <v>113797.0</v>
      </c>
      <c r="I259" s="31"/>
    </row>
    <row r="260" ht="22.5" customHeight="1">
      <c r="A260" s="33">
        <v>45828.0</v>
      </c>
      <c r="B260" s="24">
        <f t="shared" si="4"/>
        <v>2025</v>
      </c>
      <c r="C260" s="28" t="s">
        <v>243</v>
      </c>
      <c r="D260" s="29" t="s">
        <v>80</v>
      </c>
      <c r="E260" s="30">
        <v>25795.0</v>
      </c>
      <c r="F260" s="30">
        <v>0.0</v>
      </c>
      <c r="G260" s="30">
        <v>88002.0</v>
      </c>
      <c r="I260" s="31"/>
    </row>
    <row r="261" ht="22.5" customHeight="1">
      <c r="A261" s="32">
        <v>45832.0</v>
      </c>
      <c r="B261" s="24">
        <f t="shared" si="4"/>
        <v>2025</v>
      </c>
      <c r="C261" s="25" t="s">
        <v>243</v>
      </c>
      <c r="D261" s="24" t="s">
        <v>245</v>
      </c>
      <c r="E261" s="26">
        <v>0.0</v>
      </c>
      <c r="F261" s="26">
        <v>9570.0</v>
      </c>
      <c r="G261" s="26">
        <v>97572.0</v>
      </c>
      <c r="I261" s="31"/>
    </row>
    <row r="262" ht="22.5" customHeight="1">
      <c r="A262" s="33">
        <v>45845.0</v>
      </c>
      <c r="B262" s="24">
        <f t="shared" si="4"/>
        <v>2025</v>
      </c>
      <c r="C262" s="28" t="s">
        <v>243</v>
      </c>
      <c r="D262" s="29" t="s">
        <v>246</v>
      </c>
      <c r="E262" s="30">
        <v>0.0</v>
      </c>
      <c r="F262" s="30">
        <v>12992.0</v>
      </c>
      <c r="G262" s="30">
        <v>110564.0</v>
      </c>
      <c r="I262" s="31"/>
    </row>
    <row r="263" ht="22.5" customHeight="1">
      <c r="A263" s="32">
        <v>45845.0</v>
      </c>
      <c r="B263" s="24">
        <f t="shared" si="4"/>
        <v>2025</v>
      </c>
      <c r="C263" s="25" t="s">
        <v>243</v>
      </c>
      <c r="D263" s="24" t="s">
        <v>247</v>
      </c>
      <c r="E263" s="26">
        <v>0.0</v>
      </c>
      <c r="F263" s="26">
        <v>5376.0</v>
      </c>
      <c r="G263" s="26">
        <v>115940.0</v>
      </c>
      <c r="I263" s="31"/>
    </row>
    <row r="264" ht="22.5" customHeight="1">
      <c r="A264" s="33">
        <v>45850.0</v>
      </c>
      <c r="B264" s="24">
        <f t="shared" si="4"/>
        <v>2025</v>
      </c>
      <c r="C264" s="28" t="s">
        <v>243</v>
      </c>
      <c r="D264" s="29" t="s">
        <v>248</v>
      </c>
      <c r="E264" s="30">
        <v>0.0</v>
      </c>
      <c r="F264" s="30">
        <v>8960.0</v>
      </c>
      <c r="G264" s="30">
        <v>124900.0</v>
      </c>
      <c r="I264" s="31"/>
    </row>
    <row r="265" ht="22.5" customHeight="1">
      <c r="A265" s="32">
        <v>45856.0</v>
      </c>
      <c r="B265" s="24">
        <f t="shared" si="4"/>
        <v>2025</v>
      </c>
      <c r="C265" s="25" t="s">
        <v>243</v>
      </c>
      <c r="D265" s="24" t="s">
        <v>249</v>
      </c>
      <c r="E265" s="26">
        <v>0.0</v>
      </c>
      <c r="F265" s="26">
        <v>8960.0</v>
      </c>
      <c r="G265" s="26">
        <v>133860.0</v>
      </c>
      <c r="I265" s="31"/>
    </row>
    <row r="266" ht="22.5" customHeight="1">
      <c r="A266" s="33">
        <v>45857.0</v>
      </c>
      <c r="B266" s="24">
        <f t="shared" si="4"/>
        <v>2025</v>
      </c>
      <c r="C266" s="28" t="s">
        <v>243</v>
      </c>
      <c r="D266" s="29" t="s">
        <v>250</v>
      </c>
      <c r="E266" s="30">
        <v>0.0</v>
      </c>
      <c r="F266" s="30">
        <v>9408.0</v>
      </c>
      <c r="G266" s="30">
        <v>143268.0</v>
      </c>
      <c r="I266" s="31"/>
    </row>
    <row r="267" ht="22.5" customHeight="1">
      <c r="A267" s="32">
        <v>45859.0</v>
      </c>
      <c r="B267" s="24">
        <f t="shared" si="4"/>
        <v>2025</v>
      </c>
      <c r="C267" s="25" t="s">
        <v>243</v>
      </c>
      <c r="D267" s="24" t="s">
        <v>78</v>
      </c>
      <c r="E267" s="26">
        <v>13127.0</v>
      </c>
      <c r="F267" s="26">
        <v>0.0</v>
      </c>
      <c r="G267" s="26">
        <v>130141.0</v>
      </c>
      <c r="I267" s="31"/>
    </row>
    <row r="268" ht="22.5" customHeight="1">
      <c r="A268" s="33">
        <v>45859.0</v>
      </c>
      <c r="B268" s="24">
        <f t="shared" si="4"/>
        <v>2025</v>
      </c>
      <c r="C268" s="28" t="s">
        <v>243</v>
      </c>
      <c r="D268" s="29" t="s">
        <v>251</v>
      </c>
      <c r="E268" s="30">
        <v>0.0</v>
      </c>
      <c r="F268" s="30">
        <v>12992.0</v>
      </c>
      <c r="G268" s="30">
        <v>143133.0</v>
      </c>
      <c r="I268" s="31"/>
    </row>
    <row r="269" ht="22.5" customHeight="1">
      <c r="A269" s="32">
        <v>45859.0</v>
      </c>
      <c r="B269" s="24">
        <f t="shared" si="4"/>
        <v>2025</v>
      </c>
      <c r="C269" s="25" t="s">
        <v>243</v>
      </c>
      <c r="D269" s="24" t="s">
        <v>252</v>
      </c>
      <c r="E269" s="26">
        <v>0.0</v>
      </c>
      <c r="F269" s="26">
        <v>4032.0</v>
      </c>
      <c r="G269" s="26">
        <v>147165.0</v>
      </c>
      <c r="I269" s="31"/>
    </row>
    <row r="270" ht="22.5" customHeight="1">
      <c r="A270" s="33">
        <v>45864.0</v>
      </c>
      <c r="B270" s="24">
        <f t="shared" si="4"/>
        <v>2025</v>
      </c>
      <c r="C270" s="28" t="s">
        <v>243</v>
      </c>
      <c r="D270" s="29" t="s">
        <v>253</v>
      </c>
      <c r="E270" s="30">
        <v>0.0</v>
      </c>
      <c r="F270" s="30">
        <v>13440.0</v>
      </c>
      <c r="G270" s="30">
        <v>160605.0</v>
      </c>
      <c r="I270" s="31"/>
    </row>
    <row r="271" ht="22.5" customHeight="1">
      <c r="A271" s="32">
        <v>45868.0</v>
      </c>
      <c r="B271" s="24">
        <f t="shared" si="4"/>
        <v>2025</v>
      </c>
      <c r="C271" s="25" t="s">
        <v>243</v>
      </c>
      <c r="D271" s="24" t="s">
        <v>78</v>
      </c>
      <c r="E271" s="26">
        <v>18309.0</v>
      </c>
      <c r="F271" s="26">
        <v>0.0</v>
      </c>
      <c r="G271" s="26">
        <v>142296.0</v>
      </c>
      <c r="I271" s="31"/>
    </row>
    <row r="272" ht="22.5" customHeight="1">
      <c r="A272" s="33">
        <v>45874.0</v>
      </c>
      <c r="B272" s="24">
        <f t="shared" si="4"/>
        <v>2025</v>
      </c>
      <c r="C272" s="28" t="s">
        <v>243</v>
      </c>
      <c r="D272" s="29" t="s">
        <v>254</v>
      </c>
      <c r="E272" s="30">
        <v>0.0</v>
      </c>
      <c r="F272" s="30">
        <v>8960.0</v>
      </c>
      <c r="G272" s="30">
        <v>151256.0</v>
      </c>
      <c r="I272" s="31"/>
    </row>
    <row r="273" ht="22.5" customHeight="1">
      <c r="A273" s="32">
        <v>45881.0</v>
      </c>
      <c r="B273" s="24">
        <f t="shared" si="4"/>
        <v>2025</v>
      </c>
      <c r="C273" s="25" t="s">
        <v>243</v>
      </c>
      <c r="D273" s="24" t="s">
        <v>255</v>
      </c>
      <c r="E273" s="26">
        <v>0.0</v>
      </c>
      <c r="F273" s="26">
        <v>7884.0</v>
      </c>
      <c r="G273" s="26">
        <v>159140.0</v>
      </c>
      <c r="I273" s="31"/>
    </row>
    <row r="274" ht="22.5" customHeight="1">
      <c r="A274" s="33">
        <v>45898.0</v>
      </c>
      <c r="B274" s="24">
        <f t="shared" si="4"/>
        <v>2025</v>
      </c>
      <c r="C274" s="28" t="s">
        <v>243</v>
      </c>
      <c r="D274" s="29" t="s">
        <v>256</v>
      </c>
      <c r="E274" s="30">
        <v>0.0</v>
      </c>
      <c r="F274" s="30">
        <v>4480.0</v>
      </c>
      <c r="G274" s="30">
        <v>163620.0</v>
      </c>
      <c r="I274" s="31"/>
    </row>
    <row r="275" ht="22.5" customHeight="1">
      <c r="A275" s="32">
        <v>45905.0</v>
      </c>
      <c r="B275" s="24">
        <f t="shared" si="4"/>
        <v>2025</v>
      </c>
      <c r="C275" s="25" t="s">
        <v>243</v>
      </c>
      <c r="D275" s="24" t="s">
        <v>82</v>
      </c>
      <c r="E275" s="26">
        <v>13305.0</v>
      </c>
      <c r="F275" s="26">
        <v>0.0</v>
      </c>
      <c r="G275" s="26">
        <v>150315.0</v>
      </c>
      <c r="I275" s="31"/>
    </row>
    <row r="276" ht="22.5" customHeight="1">
      <c r="A276" s="33">
        <v>45918.0</v>
      </c>
      <c r="B276" s="24">
        <f t="shared" si="4"/>
        <v>2025</v>
      </c>
      <c r="C276" s="28" t="s">
        <v>243</v>
      </c>
      <c r="D276" s="29" t="s">
        <v>82</v>
      </c>
      <c r="E276" s="30">
        <v>11586.0</v>
      </c>
      <c r="F276" s="30">
        <v>0.0</v>
      </c>
      <c r="G276" s="30">
        <v>138729.0</v>
      </c>
      <c r="I276" s="31"/>
    </row>
    <row r="277" ht="22.5" customHeight="1">
      <c r="A277" s="32">
        <v>45918.0</v>
      </c>
      <c r="B277" s="24">
        <f t="shared" si="4"/>
        <v>2025</v>
      </c>
      <c r="C277" s="25" t="s">
        <v>243</v>
      </c>
      <c r="D277" s="24" t="s">
        <v>257</v>
      </c>
      <c r="E277" s="26">
        <v>0.0</v>
      </c>
      <c r="F277" s="26">
        <v>5824.0</v>
      </c>
      <c r="G277" s="26">
        <v>144553.0</v>
      </c>
      <c r="I277" s="31"/>
    </row>
    <row r="278" ht="22.5" customHeight="1">
      <c r="A278" s="33">
        <v>45925.0</v>
      </c>
      <c r="B278" s="24">
        <f t="shared" si="4"/>
        <v>2025</v>
      </c>
      <c r="C278" s="28" t="s">
        <v>243</v>
      </c>
      <c r="D278" s="29" t="s">
        <v>82</v>
      </c>
      <c r="E278" s="30">
        <v>10264.0</v>
      </c>
      <c r="F278" s="30">
        <v>0.0</v>
      </c>
      <c r="G278" s="30">
        <v>134289.0</v>
      </c>
      <c r="I278" s="31"/>
    </row>
    <row r="279" ht="22.5" customHeight="1">
      <c r="A279" s="32">
        <v>45930.0</v>
      </c>
      <c r="B279" s="24">
        <f t="shared" si="4"/>
        <v>2025</v>
      </c>
      <c r="C279" s="25" t="s">
        <v>243</v>
      </c>
      <c r="D279" s="24" t="s">
        <v>258</v>
      </c>
      <c r="E279" s="26">
        <v>0.0</v>
      </c>
      <c r="F279" s="26">
        <v>8024.0</v>
      </c>
      <c r="G279" s="26">
        <v>142313.0</v>
      </c>
      <c r="I279" s="31"/>
    </row>
    <row r="280" ht="22.5" customHeight="1">
      <c r="A280" s="33">
        <v>45937.0</v>
      </c>
      <c r="B280" s="24">
        <f t="shared" si="4"/>
        <v>2025</v>
      </c>
      <c r="C280" s="28" t="s">
        <v>243</v>
      </c>
      <c r="D280" s="29" t="s">
        <v>259</v>
      </c>
      <c r="E280" s="30">
        <v>0.0</v>
      </c>
      <c r="F280" s="30">
        <v>1416.0</v>
      </c>
      <c r="G280" s="30">
        <v>143729.0</v>
      </c>
      <c r="I280" s="31"/>
    </row>
    <row r="281" ht="22.5" customHeight="1">
      <c r="A281" s="32">
        <v>45940.0</v>
      </c>
      <c r="B281" s="24">
        <f t="shared" si="4"/>
        <v>2025</v>
      </c>
      <c r="C281" s="25" t="s">
        <v>243</v>
      </c>
      <c r="D281" s="24" t="s">
        <v>80</v>
      </c>
      <c r="E281" s="26">
        <v>9314.0</v>
      </c>
      <c r="F281" s="26">
        <v>0.0</v>
      </c>
      <c r="G281" s="26">
        <v>134415.0</v>
      </c>
      <c r="I281" s="31"/>
    </row>
    <row r="282" ht="22.5" customHeight="1">
      <c r="A282" s="33">
        <v>45946.0</v>
      </c>
      <c r="B282" s="24">
        <f t="shared" si="4"/>
        <v>2025</v>
      </c>
      <c r="C282" s="28" t="s">
        <v>243</v>
      </c>
      <c r="D282" s="29" t="s">
        <v>80</v>
      </c>
      <c r="E282" s="30">
        <v>27504.0</v>
      </c>
      <c r="F282" s="30">
        <v>0.0</v>
      </c>
      <c r="G282" s="30">
        <v>106911.0</v>
      </c>
      <c r="I282" s="31"/>
    </row>
    <row r="283" ht="22.5" customHeight="1">
      <c r="A283" s="32">
        <v>45950.0</v>
      </c>
      <c r="B283" s="24">
        <f t="shared" si="4"/>
        <v>2025</v>
      </c>
      <c r="C283" s="25" t="s">
        <v>243</v>
      </c>
      <c r="D283" s="24" t="s">
        <v>260</v>
      </c>
      <c r="E283" s="26">
        <v>0.0</v>
      </c>
      <c r="F283" s="26">
        <v>9440.0</v>
      </c>
      <c r="G283" s="26">
        <v>116351.0</v>
      </c>
      <c r="I283" s="31"/>
    </row>
    <row r="284" ht="22.5" customHeight="1">
      <c r="A284" s="33">
        <v>45971.0</v>
      </c>
      <c r="B284" s="24">
        <f t="shared" si="4"/>
        <v>2025</v>
      </c>
      <c r="C284" s="28" t="s">
        <v>243</v>
      </c>
      <c r="D284" s="29" t="s">
        <v>261</v>
      </c>
      <c r="E284" s="30">
        <v>0.0</v>
      </c>
      <c r="F284" s="30">
        <v>10856.0</v>
      </c>
      <c r="G284" s="30">
        <v>127207.0</v>
      </c>
      <c r="I284" s="31"/>
    </row>
    <row r="285" ht="22.5" customHeight="1">
      <c r="A285" s="32">
        <v>45981.0</v>
      </c>
      <c r="B285" s="24">
        <f t="shared" si="4"/>
        <v>2025</v>
      </c>
      <c r="C285" s="25" t="s">
        <v>243</v>
      </c>
      <c r="D285" s="24" t="s">
        <v>80</v>
      </c>
      <c r="E285" s="26">
        <v>20000.0</v>
      </c>
      <c r="F285" s="26">
        <v>0.0</v>
      </c>
      <c r="G285" s="26">
        <v>107207.0</v>
      </c>
      <c r="I285" s="31"/>
    </row>
    <row r="286" ht="22.5" customHeight="1">
      <c r="A286" s="33">
        <v>45983.0</v>
      </c>
      <c r="B286" s="24">
        <f t="shared" si="4"/>
        <v>2025</v>
      </c>
      <c r="C286" s="28" t="s">
        <v>243</v>
      </c>
      <c r="D286" s="29" t="s">
        <v>262</v>
      </c>
      <c r="E286" s="30">
        <v>0.0</v>
      </c>
      <c r="F286" s="30">
        <v>11328.0</v>
      </c>
      <c r="G286" s="30">
        <v>118535.0</v>
      </c>
      <c r="I286" s="31"/>
    </row>
    <row r="287" ht="22.5" customHeight="1">
      <c r="A287" s="32">
        <v>45995.0</v>
      </c>
      <c r="B287" s="24">
        <f t="shared" si="4"/>
        <v>2025</v>
      </c>
      <c r="C287" s="25" t="s">
        <v>243</v>
      </c>
      <c r="D287" s="24" t="s">
        <v>263</v>
      </c>
      <c r="E287" s="26">
        <v>0.0</v>
      </c>
      <c r="F287" s="26">
        <v>944.0</v>
      </c>
      <c r="G287" s="26">
        <v>119479.0</v>
      </c>
      <c r="I287" s="31"/>
    </row>
    <row r="288" ht="22.5" customHeight="1">
      <c r="A288" s="33">
        <v>46008.0</v>
      </c>
      <c r="B288" s="24">
        <f t="shared" si="4"/>
        <v>2025</v>
      </c>
      <c r="C288" s="28" t="s">
        <v>243</v>
      </c>
      <c r="D288" s="29" t="s">
        <v>264</v>
      </c>
      <c r="E288" s="30">
        <v>0.0</v>
      </c>
      <c r="F288" s="30">
        <v>944.0</v>
      </c>
      <c r="G288" s="30">
        <v>120423.0</v>
      </c>
      <c r="I288" s="31"/>
    </row>
    <row r="289" ht="22.5" customHeight="1">
      <c r="A289" s="32">
        <v>46018.0</v>
      </c>
      <c r="B289" s="24">
        <f t="shared" si="4"/>
        <v>2025</v>
      </c>
      <c r="C289" s="25" t="s">
        <v>243</v>
      </c>
      <c r="D289" s="24" t="s">
        <v>265</v>
      </c>
      <c r="E289" s="26">
        <v>0.0</v>
      </c>
      <c r="F289" s="26">
        <v>2832.0</v>
      </c>
      <c r="G289" s="26">
        <v>123255.0</v>
      </c>
      <c r="I289" s="31"/>
    </row>
    <row r="290" ht="22.5" customHeight="1">
      <c r="A290" s="33">
        <v>46021.0</v>
      </c>
      <c r="B290" s="24">
        <f t="shared" si="4"/>
        <v>2025</v>
      </c>
      <c r="C290" s="28" t="s">
        <v>243</v>
      </c>
      <c r="D290" s="29" t="s">
        <v>82</v>
      </c>
      <c r="E290" s="30">
        <v>17398.0</v>
      </c>
      <c r="F290" s="30">
        <v>0.0</v>
      </c>
      <c r="G290" s="30">
        <v>105857.0</v>
      </c>
      <c r="I290" s="31"/>
    </row>
    <row r="291" ht="22.5" customHeight="1">
      <c r="A291" s="32">
        <v>46021.0</v>
      </c>
      <c r="B291" s="24">
        <f t="shared" si="4"/>
        <v>2025</v>
      </c>
      <c r="C291" s="25" t="s">
        <v>243</v>
      </c>
      <c r="D291" s="24" t="s">
        <v>82</v>
      </c>
      <c r="E291" s="26">
        <v>16675.0</v>
      </c>
      <c r="F291" s="26">
        <v>0.0</v>
      </c>
      <c r="G291" s="26">
        <v>89182.0</v>
      </c>
      <c r="I291" s="31"/>
    </row>
    <row r="292" ht="22.5" customHeight="1">
      <c r="A292" s="33">
        <v>46027.0</v>
      </c>
      <c r="B292" s="24">
        <f t="shared" si="4"/>
        <v>2026</v>
      </c>
      <c r="C292" s="28" t="s">
        <v>243</v>
      </c>
      <c r="D292" s="29" t="s">
        <v>266</v>
      </c>
      <c r="E292" s="30">
        <v>0.0</v>
      </c>
      <c r="F292" s="30">
        <v>12272.0</v>
      </c>
      <c r="G292" s="30">
        <v>101454.0</v>
      </c>
      <c r="I292" s="31"/>
    </row>
    <row r="293" ht="22.5" customHeight="1">
      <c r="A293" s="32">
        <v>46027.0</v>
      </c>
      <c r="B293" s="24">
        <f t="shared" si="4"/>
        <v>2026</v>
      </c>
      <c r="C293" s="25" t="s">
        <v>243</v>
      </c>
      <c r="D293" s="24" t="s">
        <v>267</v>
      </c>
      <c r="E293" s="26">
        <v>0.0</v>
      </c>
      <c r="F293" s="26">
        <v>6608.0</v>
      </c>
      <c r="G293" s="26">
        <v>108062.0</v>
      </c>
      <c r="I293" s="31"/>
    </row>
    <row r="294" ht="22.5" customHeight="1">
      <c r="A294" s="33">
        <v>46048.0</v>
      </c>
      <c r="B294" s="24">
        <f t="shared" si="4"/>
        <v>2026</v>
      </c>
      <c r="C294" s="28" t="s">
        <v>243</v>
      </c>
      <c r="D294" s="29" t="s">
        <v>268</v>
      </c>
      <c r="E294" s="30">
        <v>0.0</v>
      </c>
      <c r="F294" s="30">
        <v>31916.0</v>
      </c>
      <c r="G294" s="30">
        <v>139978.0</v>
      </c>
      <c r="I294" s="31"/>
    </row>
    <row r="295" ht="22.5" customHeight="1">
      <c r="A295" s="32">
        <v>46050.0</v>
      </c>
      <c r="B295" s="24">
        <f t="shared" si="4"/>
        <v>2026</v>
      </c>
      <c r="C295" s="25" t="s">
        <v>243</v>
      </c>
      <c r="D295" s="24" t="s">
        <v>82</v>
      </c>
      <c r="E295" s="26">
        <v>18145.0</v>
      </c>
      <c r="F295" s="26">
        <v>0.0</v>
      </c>
      <c r="G295" s="26">
        <v>121833.0</v>
      </c>
      <c r="I295" s="31"/>
    </row>
    <row r="296" ht="22.5" customHeight="1">
      <c r="A296" s="33">
        <v>46052.0</v>
      </c>
      <c r="B296" s="24">
        <f t="shared" si="4"/>
        <v>2026</v>
      </c>
      <c r="C296" s="28" t="s">
        <v>243</v>
      </c>
      <c r="D296" s="29" t="s">
        <v>269</v>
      </c>
      <c r="E296" s="30">
        <v>0.0</v>
      </c>
      <c r="F296" s="30">
        <v>4720.0</v>
      </c>
      <c r="G296" s="30">
        <v>126553.0</v>
      </c>
      <c r="I296" s="31"/>
    </row>
    <row r="297" ht="22.5" customHeight="1">
      <c r="A297" s="32">
        <v>46066.0</v>
      </c>
      <c r="B297" s="24">
        <f t="shared" si="4"/>
        <v>2026</v>
      </c>
      <c r="C297" s="25" t="s">
        <v>243</v>
      </c>
      <c r="D297" s="24" t="s">
        <v>82</v>
      </c>
      <c r="E297" s="26">
        <v>21494.0</v>
      </c>
      <c r="F297" s="26">
        <v>0.0</v>
      </c>
      <c r="G297" s="26">
        <v>105059.0</v>
      </c>
      <c r="I297" s="31"/>
    </row>
    <row r="298" ht="22.5" customHeight="1">
      <c r="A298" s="33">
        <v>46072.0</v>
      </c>
      <c r="B298" s="24">
        <f t="shared" si="4"/>
        <v>2026</v>
      </c>
      <c r="C298" s="28" t="s">
        <v>243</v>
      </c>
      <c r="D298" s="29" t="s">
        <v>270</v>
      </c>
      <c r="E298" s="30">
        <v>0.0</v>
      </c>
      <c r="F298" s="30">
        <v>11800.0</v>
      </c>
      <c r="G298" s="30">
        <v>116859.0</v>
      </c>
      <c r="I298" s="31"/>
    </row>
    <row r="299" ht="22.5" customHeight="1">
      <c r="A299" s="32">
        <v>46081.0</v>
      </c>
      <c r="B299" s="24">
        <f t="shared" si="4"/>
        <v>2026</v>
      </c>
      <c r="C299" s="25" t="s">
        <v>243</v>
      </c>
      <c r="D299" s="24" t="s">
        <v>271</v>
      </c>
      <c r="E299" s="26">
        <v>0.0</v>
      </c>
      <c r="F299" s="26">
        <v>8024.0</v>
      </c>
      <c r="G299" s="26">
        <v>124883.0</v>
      </c>
      <c r="I299" s="31"/>
    </row>
    <row r="300" ht="22.5" customHeight="1">
      <c r="A300" s="33">
        <v>46083.0</v>
      </c>
      <c r="B300" s="24">
        <f t="shared" si="4"/>
        <v>2026</v>
      </c>
      <c r="C300" s="28" t="s">
        <v>243</v>
      </c>
      <c r="D300" s="29" t="s">
        <v>82</v>
      </c>
      <c r="E300" s="30">
        <v>13085.0</v>
      </c>
      <c r="F300" s="30">
        <v>0.0</v>
      </c>
      <c r="G300" s="30">
        <v>111798.0</v>
      </c>
      <c r="I300" s="31"/>
    </row>
    <row r="301" ht="22.5" customHeight="1">
      <c r="A301" s="32">
        <v>46083.0</v>
      </c>
      <c r="B301" s="24">
        <f t="shared" si="4"/>
        <v>2026</v>
      </c>
      <c r="C301" s="25" t="s">
        <v>243</v>
      </c>
      <c r="D301" s="24" t="s">
        <v>272</v>
      </c>
      <c r="E301" s="26">
        <v>0.0</v>
      </c>
      <c r="F301" s="26">
        <v>3197.0</v>
      </c>
      <c r="G301" s="26">
        <v>114995.0</v>
      </c>
      <c r="I301" s="31"/>
    </row>
    <row r="302" ht="22.5" customHeight="1">
      <c r="A302" s="33">
        <v>46084.0</v>
      </c>
      <c r="B302" s="24">
        <f t="shared" si="4"/>
        <v>2026</v>
      </c>
      <c r="C302" s="28" t="s">
        <v>243</v>
      </c>
      <c r="D302" s="29" t="s">
        <v>273</v>
      </c>
      <c r="E302" s="30">
        <v>0.0</v>
      </c>
      <c r="F302" s="30">
        <v>4720.0</v>
      </c>
      <c r="G302" s="30">
        <v>119715.0</v>
      </c>
      <c r="I302" s="31"/>
    </row>
    <row r="303" ht="22.5" customHeight="1">
      <c r="A303" s="32">
        <v>46087.0</v>
      </c>
      <c r="B303" s="24">
        <f t="shared" si="4"/>
        <v>2026</v>
      </c>
      <c r="C303" s="25" t="s">
        <v>243</v>
      </c>
      <c r="D303" s="24" t="s">
        <v>274</v>
      </c>
      <c r="E303" s="26">
        <v>0.0</v>
      </c>
      <c r="F303" s="26">
        <v>11800.0</v>
      </c>
      <c r="G303" s="26">
        <v>131515.0</v>
      </c>
      <c r="I303" s="31"/>
    </row>
    <row r="304" ht="22.5" customHeight="1">
      <c r="A304" s="33">
        <v>46088.0</v>
      </c>
      <c r="B304" s="24">
        <f t="shared" si="4"/>
        <v>2026</v>
      </c>
      <c r="C304" s="28" t="s">
        <v>243</v>
      </c>
      <c r="D304" s="29" t="s">
        <v>275</v>
      </c>
      <c r="E304" s="30">
        <v>0.0</v>
      </c>
      <c r="F304" s="30">
        <v>3682.0</v>
      </c>
      <c r="G304" s="30">
        <v>135197.0</v>
      </c>
      <c r="I304" s="31"/>
    </row>
    <row r="305" ht="22.5" customHeight="1">
      <c r="A305" s="32">
        <v>46088.0</v>
      </c>
      <c r="B305" s="24">
        <f t="shared" si="4"/>
        <v>2026</v>
      </c>
      <c r="C305" s="25" t="s">
        <v>243</v>
      </c>
      <c r="D305" s="24" t="s">
        <v>276</v>
      </c>
      <c r="E305" s="26">
        <v>0.0</v>
      </c>
      <c r="F305" s="26">
        <v>3776.0</v>
      </c>
      <c r="G305" s="26">
        <v>138973.0</v>
      </c>
      <c r="I305" s="31"/>
    </row>
    <row r="306" ht="22.5" customHeight="1">
      <c r="A306" s="33">
        <v>46097.0</v>
      </c>
      <c r="B306" s="24">
        <f t="shared" si="4"/>
        <v>2026</v>
      </c>
      <c r="C306" s="28" t="s">
        <v>243</v>
      </c>
      <c r="D306" s="29" t="s">
        <v>277</v>
      </c>
      <c r="E306" s="30">
        <v>0.0</v>
      </c>
      <c r="F306" s="30">
        <v>9638.0</v>
      </c>
      <c r="G306" s="30">
        <v>148611.0</v>
      </c>
      <c r="I306" s="31"/>
    </row>
    <row r="307" ht="22.5" customHeight="1">
      <c r="A307" s="32">
        <v>46101.0</v>
      </c>
      <c r="B307" s="24">
        <f t="shared" si="4"/>
        <v>2026</v>
      </c>
      <c r="C307" s="25" t="s">
        <v>243</v>
      </c>
      <c r="D307" s="24" t="s">
        <v>278</v>
      </c>
      <c r="E307" s="26">
        <v>0.0</v>
      </c>
      <c r="F307" s="26">
        <v>22136.0</v>
      </c>
      <c r="G307" s="26">
        <v>170747.0</v>
      </c>
      <c r="I307" s="31"/>
    </row>
    <row r="308" ht="22.5" customHeight="1">
      <c r="A308" s="33">
        <v>45748.0</v>
      </c>
      <c r="B308" s="24">
        <f t="shared" si="4"/>
        <v>2025</v>
      </c>
      <c r="C308" s="28" t="s">
        <v>279</v>
      </c>
      <c r="D308" s="29" t="s">
        <v>71</v>
      </c>
      <c r="E308" s="30">
        <v>0.0</v>
      </c>
      <c r="F308" s="30">
        <v>0.0</v>
      </c>
      <c r="G308" s="30">
        <v>0.0</v>
      </c>
      <c r="I308" s="31"/>
    </row>
    <row r="309" ht="22.5" customHeight="1">
      <c r="A309" s="32">
        <v>45769.0</v>
      </c>
      <c r="B309" s="24">
        <f t="shared" si="4"/>
        <v>2025</v>
      </c>
      <c r="C309" s="25" t="s">
        <v>279</v>
      </c>
      <c r="D309" s="24" t="s">
        <v>135</v>
      </c>
      <c r="E309" s="26">
        <v>0.0</v>
      </c>
      <c r="F309" s="26">
        <v>29194.0</v>
      </c>
      <c r="G309" s="26">
        <v>29194.0</v>
      </c>
      <c r="I309" s="31"/>
    </row>
    <row r="310" ht="22.5" customHeight="1">
      <c r="A310" s="33">
        <v>45770.0</v>
      </c>
      <c r="B310" s="24">
        <f t="shared" si="4"/>
        <v>2025</v>
      </c>
      <c r="C310" s="28" t="s">
        <v>279</v>
      </c>
      <c r="D310" s="29" t="s">
        <v>78</v>
      </c>
      <c r="E310" s="30">
        <v>29194.0</v>
      </c>
      <c r="F310" s="30">
        <v>0.0</v>
      </c>
      <c r="G310" s="30">
        <v>0.0</v>
      </c>
      <c r="I310" s="31"/>
    </row>
    <row r="311" ht="22.5" customHeight="1">
      <c r="A311" s="32">
        <v>45819.0</v>
      </c>
      <c r="B311" s="24">
        <f t="shared" si="4"/>
        <v>2025</v>
      </c>
      <c r="C311" s="25" t="s">
        <v>279</v>
      </c>
      <c r="D311" s="24" t="s">
        <v>280</v>
      </c>
      <c r="E311" s="26">
        <v>0.0</v>
      </c>
      <c r="F311" s="26">
        <v>38389.0</v>
      </c>
      <c r="G311" s="26">
        <v>38389.0</v>
      </c>
      <c r="I311" s="31"/>
    </row>
    <row r="312" ht="22.5" customHeight="1">
      <c r="A312" s="33">
        <v>45828.0</v>
      </c>
      <c r="B312" s="24">
        <f t="shared" si="4"/>
        <v>2025</v>
      </c>
      <c r="C312" s="28" t="s">
        <v>279</v>
      </c>
      <c r="D312" s="29" t="s">
        <v>80</v>
      </c>
      <c r="E312" s="30">
        <v>38389.0</v>
      </c>
      <c r="F312" s="30">
        <v>0.0</v>
      </c>
      <c r="G312" s="30">
        <v>0.0</v>
      </c>
      <c r="I312" s="31"/>
    </row>
    <row r="313" ht="22.5" customHeight="1">
      <c r="A313" s="32">
        <v>46109.0</v>
      </c>
      <c r="B313" s="24">
        <f t="shared" si="4"/>
        <v>2026</v>
      </c>
      <c r="C313" s="25" t="s">
        <v>279</v>
      </c>
      <c r="D313" s="24" t="s">
        <v>281</v>
      </c>
      <c r="E313" s="26">
        <v>0.0</v>
      </c>
      <c r="F313" s="26">
        <v>18644.0</v>
      </c>
      <c r="G313" s="26">
        <v>18644.0</v>
      </c>
      <c r="I313" s="31"/>
    </row>
    <row r="314" ht="22.5" customHeight="1">
      <c r="A314" s="33">
        <v>46112.0</v>
      </c>
      <c r="B314" s="24">
        <f t="shared" si="4"/>
        <v>2026</v>
      </c>
      <c r="C314" s="28" t="s">
        <v>279</v>
      </c>
      <c r="D314" s="29" t="s">
        <v>282</v>
      </c>
      <c r="E314" s="30">
        <v>0.0</v>
      </c>
      <c r="F314" s="30">
        <v>8438.0</v>
      </c>
      <c r="G314" s="30">
        <v>27082.0</v>
      </c>
      <c r="I314" s="31"/>
    </row>
    <row r="315" ht="22.5" customHeight="1">
      <c r="A315" s="32">
        <v>45748.0</v>
      </c>
      <c r="B315" s="24">
        <f t="shared" si="4"/>
        <v>2025</v>
      </c>
      <c r="C315" s="25" t="s">
        <v>283</v>
      </c>
      <c r="D315" s="24" t="s">
        <v>71</v>
      </c>
      <c r="E315" s="26">
        <v>0.0</v>
      </c>
      <c r="F315" s="26">
        <v>76891.0</v>
      </c>
      <c r="G315" s="26">
        <v>76891.0</v>
      </c>
      <c r="I315" s="31"/>
    </row>
    <row r="316" ht="22.5" customHeight="1">
      <c r="A316" s="33">
        <v>45748.0</v>
      </c>
      <c r="B316" s="24">
        <f t="shared" si="4"/>
        <v>2025</v>
      </c>
      <c r="C316" s="28" t="s">
        <v>283</v>
      </c>
      <c r="D316" s="29" t="s">
        <v>98</v>
      </c>
      <c r="E316" s="30">
        <v>0.0</v>
      </c>
      <c r="F316" s="30">
        <v>10360.0</v>
      </c>
      <c r="G316" s="30">
        <v>87251.0</v>
      </c>
      <c r="I316" s="31"/>
    </row>
    <row r="317" ht="22.5" customHeight="1">
      <c r="A317" s="32">
        <v>45754.0</v>
      </c>
      <c r="B317" s="24">
        <f t="shared" si="4"/>
        <v>2025</v>
      </c>
      <c r="C317" s="25" t="s">
        <v>283</v>
      </c>
      <c r="D317" s="24" t="s">
        <v>272</v>
      </c>
      <c r="E317" s="26">
        <v>0.0</v>
      </c>
      <c r="F317" s="26">
        <v>4703.0</v>
      </c>
      <c r="G317" s="26">
        <v>91954.0</v>
      </c>
      <c r="I317" s="31"/>
    </row>
    <row r="318" ht="22.5" customHeight="1">
      <c r="A318" s="33">
        <v>45756.0</v>
      </c>
      <c r="B318" s="24">
        <f t="shared" si="4"/>
        <v>2025</v>
      </c>
      <c r="C318" s="28" t="s">
        <v>283</v>
      </c>
      <c r="D318" s="29" t="s">
        <v>274</v>
      </c>
      <c r="E318" s="30">
        <v>0.0</v>
      </c>
      <c r="F318" s="30">
        <v>10360.0</v>
      </c>
      <c r="G318" s="30">
        <v>102314.0</v>
      </c>
      <c r="I318" s="31"/>
    </row>
    <row r="319" ht="22.5" customHeight="1">
      <c r="A319" s="32">
        <v>45757.0</v>
      </c>
      <c r="B319" s="24">
        <f t="shared" si="4"/>
        <v>2025</v>
      </c>
      <c r="C319" s="25" t="s">
        <v>283</v>
      </c>
      <c r="D319" s="24" t="s">
        <v>197</v>
      </c>
      <c r="E319" s="26">
        <v>0.0</v>
      </c>
      <c r="F319" s="26">
        <v>10879.0</v>
      </c>
      <c r="G319" s="26">
        <v>113193.0</v>
      </c>
      <c r="I319" s="31"/>
    </row>
    <row r="320" ht="22.5" customHeight="1">
      <c r="A320" s="33">
        <v>45762.0</v>
      </c>
      <c r="B320" s="24">
        <f t="shared" si="4"/>
        <v>2025</v>
      </c>
      <c r="C320" s="28" t="s">
        <v>283</v>
      </c>
      <c r="D320" s="29" t="s">
        <v>240</v>
      </c>
      <c r="E320" s="30">
        <v>0.0</v>
      </c>
      <c r="F320" s="30">
        <v>7959.0</v>
      </c>
      <c r="G320" s="30">
        <v>121152.0</v>
      </c>
      <c r="I320" s="31"/>
    </row>
    <row r="321" ht="22.5" customHeight="1">
      <c r="A321" s="32">
        <v>45766.0</v>
      </c>
      <c r="B321" s="24">
        <f t="shared" si="4"/>
        <v>2025</v>
      </c>
      <c r="C321" s="25" t="s">
        <v>283</v>
      </c>
      <c r="D321" s="24" t="s">
        <v>78</v>
      </c>
      <c r="E321" s="26">
        <v>76850.0</v>
      </c>
      <c r="F321" s="26">
        <v>0.0</v>
      </c>
      <c r="G321" s="26">
        <v>44302.0</v>
      </c>
      <c r="I321" s="31"/>
    </row>
    <row r="322" ht="22.5" customHeight="1">
      <c r="A322" s="33">
        <v>45770.0</v>
      </c>
      <c r="B322" s="24">
        <f t="shared" si="4"/>
        <v>2025</v>
      </c>
      <c r="C322" s="28" t="s">
        <v>283</v>
      </c>
      <c r="D322" s="29" t="s">
        <v>233</v>
      </c>
      <c r="E322" s="30">
        <v>0.0</v>
      </c>
      <c r="F322" s="30">
        <v>6659.0</v>
      </c>
      <c r="G322" s="30">
        <v>50961.0</v>
      </c>
      <c r="I322" s="31"/>
    </row>
    <row r="323" ht="22.5" customHeight="1">
      <c r="A323" s="32">
        <v>45773.0</v>
      </c>
      <c r="B323" s="24">
        <f t="shared" si="4"/>
        <v>2025</v>
      </c>
      <c r="C323" s="25" t="s">
        <v>283</v>
      </c>
      <c r="D323" s="24" t="s">
        <v>125</v>
      </c>
      <c r="E323" s="26">
        <v>0.0</v>
      </c>
      <c r="F323" s="26">
        <v>8309.0</v>
      </c>
      <c r="G323" s="26">
        <v>59270.0</v>
      </c>
      <c r="I323" s="31"/>
    </row>
    <row r="324" ht="22.5" customHeight="1">
      <c r="A324" s="33">
        <v>45789.0</v>
      </c>
      <c r="B324" s="24">
        <f t="shared" si="4"/>
        <v>2025</v>
      </c>
      <c r="C324" s="28" t="s">
        <v>283</v>
      </c>
      <c r="D324" s="29" t="s">
        <v>80</v>
      </c>
      <c r="E324" s="30">
        <v>40000.0</v>
      </c>
      <c r="F324" s="30">
        <v>0.0</v>
      </c>
      <c r="G324" s="30">
        <v>19270.0</v>
      </c>
      <c r="I324" s="31"/>
    </row>
    <row r="325" ht="22.5" customHeight="1">
      <c r="A325" s="32">
        <v>45805.0</v>
      </c>
      <c r="B325" s="24">
        <f t="shared" si="4"/>
        <v>2025</v>
      </c>
      <c r="C325" s="25" t="s">
        <v>283</v>
      </c>
      <c r="D325" s="24" t="s">
        <v>281</v>
      </c>
      <c r="E325" s="26">
        <v>0.0</v>
      </c>
      <c r="F325" s="26">
        <v>5708.0</v>
      </c>
      <c r="G325" s="26">
        <v>24978.0</v>
      </c>
      <c r="I325" s="31"/>
    </row>
    <row r="326" ht="22.5" customHeight="1">
      <c r="A326" s="33">
        <v>45808.0</v>
      </c>
      <c r="B326" s="24">
        <f t="shared" si="4"/>
        <v>2025</v>
      </c>
      <c r="C326" s="28" t="s">
        <v>283</v>
      </c>
      <c r="D326" s="29" t="s">
        <v>235</v>
      </c>
      <c r="E326" s="30">
        <v>0.0</v>
      </c>
      <c r="F326" s="30">
        <v>10335.0</v>
      </c>
      <c r="G326" s="30">
        <v>35313.0</v>
      </c>
      <c r="I326" s="31"/>
    </row>
    <row r="327" ht="22.5" customHeight="1">
      <c r="A327" s="32">
        <v>45808.0</v>
      </c>
      <c r="B327" s="24">
        <f t="shared" si="4"/>
        <v>2025</v>
      </c>
      <c r="C327" s="25" t="s">
        <v>283</v>
      </c>
      <c r="D327" s="24" t="s">
        <v>76</v>
      </c>
      <c r="E327" s="26">
        <v>0.0</v>
      </c>
      <c r="F327" s="26">
        <v>10360.0</v>
      </c>
      <c r="G327" s="26">
        <v>45673.0</v>
      </c>
      <c r="I327" s="31"/>
    </row>
    <row r="328" ht="22.5" customHeight="1">
      <c r="A328" s="33">
        <v>45811.0</v>
      </c>
      <c r="B328" s="24">
        <f t="shared" si="4"/>
        <v>2025</v>
      </c>
      <c r="C328" s="28" t="s">
        <v>283</v>
      </c>
      <c r="D328" s="29" t="s">
        <v>80</v>
      </c>
      <c r="E328" s="30">
        <v>19000.0</v>
      </c>
      <c r="F328" s="30">
        <v>0.0</v>
      </c>
      <c r="G328" s="30">
        <v>26673.0</v>
      </c>
      <c r="I328" s="31"/>
    </row>
    <row r="329" ht="22.5" customHeight="1">
      <c r="A329" s="32">
        <v>45812.0</v>
      </c>
      <c r="B329" s="24">
        <f t="shared" si="4"/>
        <v>2025</v>
      </c>
      <c r="C329" s="25" t="s">
        <v>283</v>
      </c>
      <c r="D329" s="24" t="s">
        <v>104</v>
      </c>
      <c r="E329" s="26">
        <v>0.0</v>
      </c>
      <c r="F329" s="26">
        <v>5181.0</v>
      </c>
      <c r="G329" s="26">
        <v>31854.0</v>
      </c>
      <c r="I329" s="31"/>
    </row>
    <row r="330" ht="22.5" customHeight="1">
      <c r="A330" s="33">
        <v>45813.0</v>
      </c>
      <c r="B330" s="24">
        <f t="shared" si="4"/>
        <v>2025</v>
      </c>
      <c r="C330" s="28" t="s">
        <v>283</v>
      </c>
      <c r="D330" s="29" t="s">
        <v>198</v>
      </c>
      <c r="E330" s="30">
        <v>0.0</v>
      </c>
      <c r="F330" s="30">
        <v>10112.0</v>
      </c>
      <c r="G330" s="30">
        <v>41966.0</v>
      </c>
      <c r="I330" s="31"/>
    </row>
    <row r="331" ht="22.5" customHeight="1">
      <c r="A331" s="32">
        <v>45817.0</v>
      </c>
      <c r="B331" s="24">
        <f t="shared" si="4"/>
        <v>2025</v>
      </c>
      <c r="C331" s="25" t="s">
        <v>283</v>
      </c>
      <c r="D331" s="24" t="s">
        <v>242</v>
      </c>
      <c r="E331" s="26">
        <v>0.0</v>
      </c>
      <c r="F331" s="26">
        <v>10651.0</v>
      </c>
      <c r="G331" s="26">
        <v>52617.0</v>
      </c>
      <c r="I331" s="31"/>
    </row>
    <row r="332" ht="22.5" customHeight="1">
      <c r="A332" s="33">
        <v>45818.0</v>
      </c>
      <c r="B332" s="24">
        <f t="shared" si="4"/>
        <v>2025</v>
      </c>
      <c r="C332" s="28" t="s">
        <v>283</v>
      </c>
      <c r="D332" s="29" t="s">
        <v>132</v>
      </c>
      <c r="E332" s="30">
        <v>0.0</v>
      </c>
      <c r="F332" s="30">
        <v>4335.0</v>
      </c>
      <c r="G332" s="30">
        <v>56952.0</v>
      </c>
      <c r="I332" s="31"/>
    </row>
    <row r="333" ht="22.5" customHeight="1">
      <c r="A333" s="32">
        <v>45819.0</v>
      </c>
      <c r="B333" s="24">
        <f t="shared" si="4"/>
        <v>2025</v>
      </c>
      <c r="C333" s="25" t="s">
        <v>283</v>
      </c>
      <c r="D333" s="24" t="s">
        <v>284</v>
      </c>
      <c r="E333" s="26">
        <v>26293.0</v>
      </c>
      <c r="F333" s="26">
        <v>0.0</v>
      </c>
      <c r="G333" s="26">
        <v>30659.0</v>
      </c>
      <c r="I333" s="31"/>
    </row>
    <row r="334" ht="22.5" customHeight="1">
      <c r="A334" s="33">
        <v>45821.0</v>
      </c>
      <c r="B334" s="24">
        <f t="shared" si="4"/>
        <v>2025</v>
      </c>
      <c r="C334" s="28" t="s">
        <v>283</v>
      </c>
      <c r="D334" s="29" t="s">
        <v>285</v>
      </c>
      <c r="E334" s="30">
        <v>0.0</v>
      </c>
      <c r="F334" s="30">
        <v>10401.0</v>
      </c>
      <c r="G334" s="30">
        <v>41060.0</v>
      </c>
      <c r="I334" s="31"/>
    </row>
    <row r="335" ht="22.5" customHeight="1">
      <c r="A335" s="32">
        <v>45821.0</v>
      </c>
      <c r="B335" s="24">
        <f t="shared" si="4"/>
        <v>2025</v>
      </c>
      <c r="C335" s="25" t="s">
        <v>283</v>
      </c>
      <c r="D335" s="24" t="s">
        <v>286</v>
      </c>
      <c r="E335" s="26">
        <v>0.0</v>
      </c>
      <c r="F335" s="26">
        <v>10360.0</v>
      </c>
      <c r="G335" s="26">
        <v>51420.0</v>
      </c>
      <c r="I335" s="31"/>
    </row>
    <row r="336" ht="22.5" customHeight="1">
      <c r="A336" s="33">
        <v>45833.0</v>
      </c>
      <c r="B336" s="24">
        <f t="shared" si="4"/>
        <v>2025</v>
      </c>
      <c r="C336" s="28" t="s">
        <v>283</v>
      </c>
      <c r="D336" s="29" t="s">
        <v>78</v>
      </c>
      <c r="E336" s="30">
        <v>50000.0</v>
      </c>
      <c r="F336" s="30">
        <v>0.0</v>
      </c>
      <c r="G336" s="30">
        <v>1420.0</v>
      </c>
      <c r="I336" s="31"/>
    </row>
    <row r="337" ht="22.5" customHeight="1">
      <c r="A337" s="32">
        <v>45834.0</v>
      </c>
      <c r="B337" s="24">
        <f t="shared" si="4"/>
        <v>2025</v>
      </c>
      <c r="C337" s="25" t="s">
        <v>283</v>
      </c>
      <c r="D337" s="24" t="s">
        <v>287</v>
      </c>
      <c r="E337" s="26">
        <v>0.0</v>
      </c>
      <c r="F337" s="26">
        <v>6496.0</v>
      </c>
      <c r="G337" s="26">
        <v>7916.0</v>
      </c>
      <c r="I337" s="31"/>
    </row>
    <row r="338" ht="22.5" customHeight="1">
      <c r="A338" s="33">
        <v>45835.0</v>
      </c>
      <c r="B338" s="24">
        <f t="shared" si="4"/>
        <v>2025</v>
      </c>
      <c r="C338" s="28" t="s">
        <v>283</v>
      </c>
      <c r="D338" s="29" t="s">
        <v>288</v>
      </c>
      <c r="E338" s="30">
        <v>0.0</v>
      </c>
      <c r="F338" s="30">
        <v>10183.0</v>
      </c>
      <c r="G338" s="30">
        <v>18099.0</v>
      </c>
      <c r="I338" s="31"/>
    </row>
    <row r="339" ht="22.5" customHeight="1">
      <c r="A339" s="32">
        <v>45838.0</v>
      </c>
      <c r="B339" s="24">
        <f t="shared" si="4"/>
        <v>2025</v>
      </c>
      <c r="C339" s="25" t="s">
        <v>283</v>
      </c>
      <c r="D339" s="24" t="s">
        <v>289</v>
      </c>
      <c r="E339" s="26">
        <v>0.0</v>
      </c>
      <c r="F339" s="26">
        <v>11350.0</v>
      </c>
      <c r="G339" s="26">
        <v>29449.0</v>
      </c>
      <c r="I339" s="31"/>
    </row>
    <row r="340" ht="22.5" customHeight="1">
      <c r="A340" s="33">
        <v>45840.0</v>
      </c>
      <c r="B340" s="24">
        <f t="shared" si="4"/>
        <v>2025</v>
      </c>
      <c r="C340" s="28" t="s">
        <v>283</v>
      </c>
      <c r="D340" s="29" t="s">
        <v>290</v>
      </c>
      <c r="E340" s="30">
        <v>0.0</v>
      </c>
      <c r="F340" s="30">
        <v>10670.0</v>
      </c>
      <c r="G340" s="30">
        <v>40119.0</v>
      </c>
      <c r="I340" s="31"/>
    </row>
    <row r="341" ht="22.5" customHeight="1">
      <c r="A341" s="32">
        <v>45843.0</v>
      </c>
      <c r="B341" s="24">
        <f t="shared" si="4"/>
        <v>2025</v>
      </c>
      <c r="C341" s="25" t="s">
        <v>283</v>
      </c>
      <c r="D341" s="24" t="s">
        <v>291</v>
      </c>
      <c r="E341" s="26">
        <v>0.0</v>
      </c>
      <c r="F341" s="26">
        <v>9131.0</v>
      </c>
      <c r="G341" s="26">
        <v>49250.0</v>
      </c>
      <c r="I341" s="31"/>
    </row>
    <row r="342" ht="22.5" customHeight="1">
      <c r="A342" s="33">
        <v>45850.0</v>
      </c>
      <c r="B342" s="24">
        <f t="shared" si="4"/>
        <v>2025</v>
      </c>
      <c r="C342" s="28" t="s">
        <v>283</v>
      </c>
      <c r="D342" s="29" t="s">
        <v>292</v>
      </c>
      <c r="E342" s="30">
        <v>0.0</v>
      </c>
      <c r="F342" s="30">
        <v>10360.0</v>
      </c>
      <c r="G342" s="30">
        <v>59610.0</v>
      </c>
      <c r="I342" s="31"/>
    </row>
    <row r="343" ht="22.5" customHeight="1">
      <c r="A343" s="32">
        <v>45853.0</v>
      </c>
      <c r="B343" s="24">
        <f t="shared" si="4"/>
        <v>2025</v>
      </c>
      <c r="C343" s="25" t="s">
        <v>283</v>
      </c>
      <c r="D343" s="24" t="s">
        <v>293</v>
      </c>
      <c r="E343" s="26">
        <v>0.0</v>
      </c>
      <c r="F343" s="26">
        <v>7769.0</v>
      </c>
      <c r="G343" s="26">
        <v>67379.0</v>
      </c>
      <c r="I343" s="31"/>
    </row>
    <row r="344" ht="22.5" customHeight="1">
      <c r="A344" s="33">
        <v>45862.0</v>
      </c>
      <c r="B344" s="24">
        <f t="shared" si="4"/>
        <v>2025</v>
      </c>
      <c r="C344" s="28" t="s">
        <v>283</v>
      </c>
      <c r="D344" s="29" t="s">
        <v>294</v>
      </c>
      <c r="E344" s="30">
        <v>0.0</v>
      </c>
      <c r="F344" s="30">
        <v>9433.0</v>
      </c>
      <c r="G344" s="30">
        <v>76812.0</v>
      </c>
      <c r="I344" s="31"/>
    </row>
    <row r="345" ht="22.5" customHeight="1">
      <c r="A345" s="32">
        <v>45866.0</v>
      </c>
      <c r="B345" s="24">
        <f t="shared" si="4"/>
        <v>2025</v>
      </c>
      <c r="C345" s="25" t="s">
        <v>283</v>
      </c>
      <c r="D345" s="24" t="s">
        <v>78</v>
      </c>
      <c r="E345" s="26">
        <v>50000.0</v>
      </c>
      <c r="F345" s="26">
        <v>0.0</v>
      </c>
      <c r="G345" s="26">
        <v>26812.0</v>
      </c>
      <c r="I345" s="31"/>
    </row>
    <row r="346" ht="22.5" customHeight="1">
      <c r="A346" s="33">
        <v>45870.0</v>
      </c>
      <c r="B346" s="24">
        <f t="shared" si="4"/>
        <v>2025</v>
      </c>
      <c r="C346" s="28" t="s">
        <v>283</v>
      </c>
      <c r="D346" s="29" t="s">
        <v>295</v>
      </c>
      <c r="E346" s="30">
        <v>0.0</v>
      </c>
      <c r="F346" s="30">
        <v>10433.0</v>
      </c>
      <c r="G346" s="30">
        <v>37245.0</v>
      </c>
      <c r="I346" s="31"/>
    </row>
    <row r="347" ht="22.5" customHeight="1">
      <c r="A347" s="32">
        <v>45874.0</v>
      </c>
      <c r="B347" s="24">
        <f t="shared" si="4"/>
        <v>2025</v>
      </c>
      <c r="C347" s="25" t="s">
        <v>283</v>
      </c>
      <c r="D347" s="24" t="s">
        <v>296</v>
      </c>
      <c r="E347" s="26">
        <v>0.0</v>
      </c>
      <c r="F347" s="26">
        <v>7253.0</v>
      </c>
      <c r="G347" s="26">
        <v>44498.0</v>
      </c>
      <c r="I347" s="31"/>
    </row>
    <row r="348" ht="22.5" customHeight="1">
      <c r="A348" s="33">
        <v>45880.0</v>
      </c>
      <c r="B348" s="24">
        <f t="shared" si="4"/>
        <v>2025</v>
      </c>
      <c r="C348" s="28" t="s">
        <v>283</v>
      </c>
      <c r="D348" s="29" t="s">
        <v>297</v>
      </c>
      <c r="E348" s="30">
        <v>0.0</v>
      </c>
      <c r="F348" s="30">
        <v>10360.0</v>
      </c>
      <c r="G348" s="30">
        <v>54858.0</v>
      </c>
      <c r="I348" s="31"/>
    </row>
    <row r="349" ht="22.5" customHeight="1">
      <c r="A349" s="32">
        <v>45883.0</v>
      </c>
      <c r="B349" s="24">
        <f t="shared" si="4"/>
        <v>2025</v>
      </c>
      <c r="C349" s="25" t="s">
        <v>283</v>
      </c>
      <c r="D349" s="24" t="s">
        <v>298</v>
      </c>
      <c r="E349" s="26">
        <v>0.0</v>
      </c>
      <c r="F349" s="26">
        <v>10360.0</v>
      </c>
      <c r="G349" s="26">
        <v>65218.0</v>
      </c>
      <c r="I349" s="31"/>
    </row>
    <row r="350" ht="22.5" customHeight="1">
      <c r="A350" s="33">
        <v>45883.0</v>
      </c>
      <c r="B350" s="24">
        <f t="shared" si="4"/>
        <v>2025</v>
      </c>
      <c r="C350" s="28" t="s">
        <v>283</v>
      </c>
      <c r="D350" s="29" t="s">
        <v>299</v>
      </c>
      <c r="E350" s="30">
        <v>0.0</v>
      </c>
      <c r="F350" s="30">
        <v>3109.0</v>
      </c>
      <c r="G350" s="30">
        <v>68327.0</v>
      </c>
      <c r="I350" s="31"/>
    </row>
    <row r="351" ht="22.5" customHeight="1">
      <c r="A351" s="32">
        <v>45890.0</v>
      </c>
      <c r="B351" s="24">
        <f t="shared" si="4"/>
        <v>2025</v>
      </c>
      <c r="C351" s="25" t="s">
        <v>283</v>
      </c>
      <c r="D351" s="24" t="s">
        <v>300</v>
      </c>
      <c r="E351" s="26">
        <v>0.0</v>
      </c>
      <c r="F351" s="26">
        <v>6250.0</v>
      </c>
      <c r="G351" s="26">
        <v>74577.0</v>
      </c>
      <c r="I351" s="31"/>
    </row>
    <row r="352" ht="22.5" customHeight="1">
      <c r="A352" s="33">
        <v>45891.0</v>
      </c>
      <c r="B352" s="24">
        <f t="shared" si="4"/>
        <v>2025</v>
      </c>
      <c r="C352" s="28" t="s">
        <v>283</v>
      </c>
      <c r="D352" s="29" t="s">
        <v>301</v>
      </c>
      <c r="E352" s="30">
        <v>0.0</v>
      </c>
      <c r="F352" s="30">
        <v>7098.0</v>
      </c>
      <c r="G352" s="30">
        <v>81675.0</v>
      </c>
      <c r="I352" s="31"/>
    </row>
    <row r="353" ht="22.5" customHeight="1">
      <c r="A353" s="32">
        <v>45895.0</v>
      </c>
      <c r="B353" s="24">
        <f t="shared" si="4"/>
        <v>2025</v>
      </c>
      <c r="C353" s="25" t="s">
        <v>283</v>
      </c>
      <c r="D353" s="24" t="s">
        <v>302</v>
      </c>
      <c r="E353" s="26">
        <v>0.0</v>
      </c>
      <c r="F353" s="26">
        <v>9870.0</v>
      </c>
      <c r="G353" s="26">
        <v>91545.0</v>
      </c>
      <c r="I353" s="31"/>
    </row>
    <row r="354" ht="22.5" customHeight="1">
      <c r="A354" s="33">
        <v>45895.0</v>
      </c>
      <c r="B354" s="24">
        <f t="shared" si="4"/>
        <v>2025</v>
      </c>
      <c r="C354" s="28" t="s">
        <v>283</v>
      </c>
      <c r="D354" s="29" t="s">
        <v>303</v>
      </c>
      <c r="E354" s="30">
        <v>0.0</v>
      </c>
      <c r="F354" s="30">
        <v>6216.0</v>
      </c>
      <c r="G354" s="30">
        <v>97761.0</v>
      </c>
      <c r="I354" s="31"/>
    </row>
    <row r="355" ht="22.5" customHeight="1">
      <c r="A355" s="32">
        <v>45898.0</v>
      </c>
      <c r="B355" s="24">
        <f t="shared" si="4"/>
        <v>2025</v>
      </c>
      <c r="C355" s="25" t="s">
        <v>283</v>
      </c>
      <c r="D355" s="24" t="s">
        <v>304</v>
      </c>
      <c r="E355" s="26">
        <v>0.0</v>
      </c>
      <c r="F355" s="26">
        <v>6735.0</v>
      </c>
      <c r="G355" s="26">
        <v>104496.0</v>
      </c>
      <c r="I355" s="31"/>
    </row>
    <row r="356" ht="22.5" customHeight="1">
      <c r="A356" s="33">
        <v>45898.0</v>
      </c>
      <c r="B356" s="24">
        <f t="shared" si="4"/>
        <v>2025</v>
      </c>
      <c r="C356" s="28" t="s">
        <v>283</v>
      </c>
      <c r="D356" s="29" t="s">
        <v>305</v>
      </c>
      <c r="E356" s="30">
        <v>0.0</v>
      </c>
      <c r="F356" s="30">
        <v>6216.0</v>
      </c>
      <c r="G356" s="30">
        <v>110712.0</v>
      </c>
      <c r="I356" s="31"/>
    </row>
    <row r="357" ht="22.5" customHeight="1">
      <c r="A357" s="32">
        <v>45903.0</v>
      </c>
      <c r="B357" s="24">
        <f t="shared" si="4"/>
        <v>2025</v>
      </c>
      <c r="C357" s="25" t="s">
        <v>283</v>
      </c>
      <c r="D357" s="24" t="s">
        <v>306</v>
      </c>
      <c r="E357" s="26">
        <v>0.0</v>
      </c>
      <c r="F357" s="26">
        <v>6046.0</v>
      </c>
      <c r="G357" s="26">
        <v>116758.0</v>
      </c>
      <c r="I357" s="31"/>
    </row>
    <row r="358" ht="22.5" customHeight="1">
      <c r="A358" s="33">
        <v>45905.0</v>
      </c>
      <c r="B358" s="24">
        <f t="shared" si="4"/>
        <v>2025</v>
      </c>
      <c r="C358" s="28" t="s">
        <v>283</v>
      </c>
      <c r="D358" s="29" t="s">
        <v>307</v>
      </c>
      <c r="E358" s="30">
        <v>0.0</v>
      </c>
      <c r="F358" s="30">
        <v>10651.0</v>
      </c>
      <c r="G358" s="30">
        <v>127409.0</v>
      </c>
      <c r="I358" s="31"/>
    </row>
    <row r="359" ht="22.5" customHeight="1">
      <c r="A359" s="32">
        <v>45906.0</v>
      </c>
      <c r="B359" s="24">
        <f t="shared" si="4"/>
        <v>2025</v>
      </c>
      <c r="C359" s="25" t="s">
        <v>283</v>
      </c>
      <c r="D359" s="24" t="s">
        <v>82</v>
      </c>
      <c r="E359" s="26">
        <v>90000.0</v>
      </c>
      <c r="F359" s="26">
        <v>0.0</v>
      </c>
      <c r="G359" s="26">
        <v>37409.0</v>
      </c>
      <c r="I359" s="31"/>
    </row>
    <row r="360" ht="22.5" customHeight="1">
      <c r="A360" s="33">
        <v>45911.0</v>
      </c>
      <c r="B360" s="24">
        <f t="shared" si="4"/>
        <v>2025</v>
      </c>
      <c r="C360" s="28" t="s">
        <v>283</v>
      </c>
      <c r="D360" s="29" t="s">
        <v>308</v>
      </c>
      <c r="E360" s="30">
        <v>0.0</v>
      </c>
      <c r="F360" s="30">
        <v>9302.0</v>
      </c>
      <c r="G360" s="30">
        <v>46711.0</v>
      </c>
      <c r="I360" s="31"/>
    </row>
    <row r="361" ht="22.5" customHeight="1">
      <c r="A361" s="32">
        <v>45918.0</v>
      </c>
      <c r="B361" s="24">
        <f t="shared" si="4"/>
        <v>2025</v>
      </c>
      <c r="C361" s="25" t="s">
        <v>283</v>
      </c>
      <c r="D361" s="24" t="s">
        <v>309</v>
      </c>
      <c r="E361" s="26">
        <v>0.0</v>
      </c>
      <c r="F361" s="26">
        <v>5892.0</v>
      </c>
      <c r="G361" s="26">
        <v>52603.0</v>
      </c>
      <c r="I361" s="31"/>
    </row>
    <row r="362" ht="22.5" customHeight="1">
      <c r="A362" s="33">
        <v>45919.0</v>
      </c>
      <c r="B362" s="24">
        <f t="shared" si="4"/>
        <v>2025</v>
      </c>
      <c r="C362" s="28" t="s">
        <v>283</v>
      </c>
      <c r="D362" s="29" t="s">
        <v>310</v>
      </c>
      <c r="E362" s="30">
        <v>0.0</v>
      </c>
      <c r="F362" s="30">
        <v>4144.0</v>
      </c>
      <c r="G362" s="30">
        <v>56747.0</v>
      </c>
      <c r="I362" s="31"/>
    </row>
    <row r="363" ht="22.5" customHeight="1">
      <c r="A363" s="32">
        <v>45926.0</v>
      </c>
      <c r="B363" s="24">
        <f t="shared" si="4"/>
        <v>2025</v>
      </c>
      <c r="C363" s="25" t="s">
        <v>283</v>
      </c>
      <c r="D363" s="24" t="s">
        <v>311</v>
      </c>
      <c r="E363" s="26">
        <v>0.0</v>
      </c>
      <c r="F363" s="26">
        <v>10915.0</v>
      </c>
      <c r="G363" s="26">
        <v>67662.0</v>
      </c>
      <c r="I363" s="31"/>
    </row>
    <row r="364" ht="22.5" customHeight="1">
      <c r="A364" s="33">
        <v>45929.0</v>
      </c>
      <c r="B364" s="24">
        <f t="shared" si="4"/>
        <v>2025</v>
      </c>
      <c r="C364" s="28" t="s">
        <v>283</v>
      </c>
      <c r="D364" s="29" t="s">
        <v>312</v>
      </c>
      <c r="E364" s="30">
        <v>0.0</v>
      </c>
      <c r="F364" s="30">
        <v>5182.0</v>
      </c>
      <c r="G364" s="30">
        <v>72844.0</v>
      </c>
      <c r="I364" s="31"/>
    </row>
    <row r="365" ht="22.5" customHeight="1">
      <c r="A365" s="32">
        <v>45930.0</v>
      </c>
      <c r="B365" s="24">
        <f t="shared" si="4"/>
        <v>2025</v>
      </c>
      <c r="C365" s="25" t="s">
        <v>283</v>
      </c>
      <c r="D365" s="24" t="s">
        <v>313</v>
      </c>
      <c r="E365" s="26">
        <v>0.0</v>
      </c>
      <c r="F365" s="26">
        <v>8598.0</v>
      </c>
      <c r="G365" s="26">
        <v>81442.0</v>
      </c>
      <c r="I365" s="31"/>
    </row>
    <row r="366" ht="22.5" customHeight="1">
      <c r="A366" s="33">
        <v>45940.0</v>
      </c>
      <c r="B366" s="24">
        <f t="shared" si="4"/>
        <v>2025</v>
      </c>
      <c r="C366" s="28" t="s">
        <v>283</v>
      </c>
      <c r="D366" s="29" t="s">
        <v>314</v>
      </c>
      <c r="E366" s="30">
        <v>60000.0</v>
      </c>
      <c r="F366" s="30">
        <v>0.0</v>
      </c>
      <c r="G366" s="30">
        <v>21442.0</v>
      </c>
      <c r="I366" s="31"/>
    </row>
    <row r="367" ht="22.5" customHeight="1">
      <c r="A367" s="32">
        <v>45940.0</v>
      </c>
      <c r="B367" s="24">
        <f t="shared" si="4"/>
        <v>2025</v>
      </c>
      <c r="C367" s="25" t="s">
        <v>283</v>
      </c>
      <c r="D367" s="24" t="s">
        <v>315</v>
      </c>
      <c r="E367" s="26">
        <v>0.0</v>
      </c>
      <c r="F367" s="26">
        <v>11231.0</v>
      </c>
      <c r="G367" s="26">
        <v>32673.0</v>
      </c>
      <c r="I367" s="31"/>
    </row>
    <row r="368" ht="22.5" customHeight="1">
      <c r="A368" s="33">
        <v>45946.0</v>
      </c>
      <c r="B368" s="24">
        <f t="shared" si="4"/>
        <v>2025</v>
      </c>
      <c r="C368" s="28" t="s">
        <v>283</v>
      </c>
      <c r="D368" s="29" t="s">
        <v>316</v>
      </c>
      <c r="E368" s="30">
        <v>0.0</v>
      </c>
      <c r="F368" s="30">
        <v>8748.0</v>
      </c>
      <c r="G368" s="30">
        <v>41421.0</v>
      </c>
      <c r="I368" s="31"/>
    </row>
    <row r="369" ht="22.5" customHeight="1">
      <c r="A369" s="32">
        <v>45947.0</v>
      </c>
      <c r="B369" s="24">
        <f t="shared" si="4"/>
        <v>2025</v>
      </c>
      <c r="C369" s="25" t="s">
        <v>283</v>
      </c>
      <c r="D369" s="24" t="s">
        <v>317</v>
      </c>
      <c r="E369" s="26">
        <v>0.0</v>
      </c>
      <c r="F369" s="26">
        <v>10369.0</v>
      </c>
      <c r="G369" s="26">
        <v>51790.0</v>
      </c>
      <c r="I369" s="31"/>
    </row>
    <row r="370" ht="22.5" customHeight="1">
      <c r="A370" s="33">
        <v>45964.0</v>
      </c>
      <c r="B370" s="24">
        <f t="shared" si="4"/>
        <v>2025</v>
      </c>
      <c r="C370" s="28" t="s">
        <v>283</v>
      </c>
      <c r="D370" s="29" t="s">
        <v>318</v>
      </c>
      <c r="E370" s="30">
        <v>0.0</v>
      </c>
      <c r="F370" s="30">
        <v>8732.0</v>
      </c>
      <c r="G370" s="30">
        <v>60522.0</v>
      </c>
      <c r="I370" s="31"/>
    </row>
    <row r="371" ht="22.5" customHeight="1">
      <c r="A371" s="32">
        <v>45964.0</v>
      </c>
      <c r="B371" s="24">
        <f t="shared" si="4"/>
        <v>2025</v>
      </c>
      <c r="C371" s="25" t="s">
        <v>283</v>
      </c>
      <c r="D371" s="24" t="s">
        <v>319</v>
      </c>
      <c r="E371" s="26">
        <v>0.0</v>
      </c>
      <c r="F371" s="26">
        <v>2084.0</v>
      </c>
      <c r="G371" s="26">
        <v>62606.0</v>
      </c>
      <c r="I371" s="31"/>
    </row>
    <row r="372" ht="22.5" customHeight="1">
      <c r="A372" s="33">
        <v>45969.0</v>
      </c>
      <c r="B372" s="24">
        <f t="shared" si="4"/>
        <v>2025</v>
      </c>
      <c r="C372" s="28" t="s">
        <v>283</v>
      </c>
      <c r="D372" s="29" t="s">
        <v>320</v>
      </c>
      <c r="E372" s="30">
        <v>0.0</v>
      </c>
      <c r="F372" s="30">
        <v>4802.0</v>
      </c>
      <c r="G372" s="30">
        <v>67408.0</v>
      </c>
      <c r="I372" s="31"/>
    </row>
    <row r="373" ht="22.5" customHeight="1">
      <c r="A373" s="32">
        <v>45974.0</v>
      </c>
      <c r="B373" s="24">
        <f t="shared" si="4"/>
        <v>2025</v>
      </c>
      <c r="C373" s="25" t="s">
        <v>283</v>
      </c>
      <c r="D373" s="24" t="s">
        <v>321</v>
      </c>
      <c r="E373" s="26">
        <v>0.0</v>
      </c>
      <c r="F373" s="26">
        <v>9439.0</v>
      </c>
      <c r="G373" s="26">
        <v>76847.0</v>
      </c>
      <c r="I373" s="31"/>
    </row>
    <row r="374" ht="22.5" customHeight="1">
      <c r="A374" s="33">
        <v>45975.0</v>
      </c>
      <c r="B374" s="24">
        <f t="shared" si="4"/>
        <v>2025</v>
      </c>
      <c r="C374" s="28" t="s">
        <v>283</v>
      </c>
      <c r="D374" s="29" t="s">
        <v>322</v>
      </c>
      <c r="E374" s="30">
        <v>0.0</v>
      </c>
      <c r="F374" s="30">
        <v>9648.0</v>
      </c>
      <c r="G374" s="30">
        <v>86495.0</v>
      </c>
      <c r="I374" s="31"/>
    </row>
    <row r="375" ht="22.5" customHeight="1">
      <c r="A375" s="32">
        <v>45978.0</v>
      </c>
      <c r="B375" s="24">
        <f t="shared" si="4"/>
        <v>2025</v>
      </c>
      <c r="C375" s="25" t="s">
        <v>283</v>
      </c>
      <c r="D375" s="24" t="s">
        <v>323</v>
      </c>
      <c r="E375" s="26">
        <v>0.0</v>
      </c>
      <c r="F375" s="26">
        <v>10916.0</v>
      </c>
      <c r="G375" s="26">
        <v>97411.0</v>
      </c>
      <c r="I375" s="31"/>
    </row>
    <row r="376" ht="22.5" customHeight="1">
      <c r="A376" s="33">
        <v>45979.0</v>
      </c>
      <c r="B376" s="24">
        <f t="shared" si="4"/>
        <v>2025</v>
      </c>
      <c r="C376" s="28" t="s">
        <v>283</v>
      </c>
      <c r="D376" s="29" t="s">
        <v>324</v>
      </c>
      <c r="E376" s="30">
        <v>0.0</v>
      </c>
      <c r="F376" s="30">
        <v>10526.0</v>
      </c>
      <c r="G376" s="30">
        <v>107937.0</v>
      </c>
      <c r="I376" s="31"/>
    </row>
    <row r="377" ht="22.5" customHeight="1">
      <c r="A377" s="32">
        <v>45980.0</v>
      </c>
      <c r="B377" s="24">
        <f t="shared" si="4"/>
        <v>2025</v>
      </c>
      <c r="C377" s="25" t="s">
        <v>283</v>
      </c>
      <c r="D377" s="24" t="s">
        <v>325</v>
      </c>
      <c r="E377" s="26">
        <v>0.0</v>
      </c>
      <c r="F377" s="26">
        <v>10916.0</v>
      </c>
      <c r="G377" s="26">
        <v>118853.0</v>
      </c>
      <c r="I377" s="31"/>
    </row>
    <row r="378" ht="22.5" customHeight="1">
      <c r="A378" s="33">
        <v>45982.0</v>
      </c>
      <c r="B378" s="24">
        <f t="shared" si="4"/>
        <v>2025</v>
      </c>
      <c r="C378" s="28" t="s">
        <v>283</v>
      </c>
      <c r="D378" s="29" t="s">
        <v>326</v>
      </c>
      <c r="E378" s="30">
        <v>0.0</v>
      </c>
      <c r="F378" s="30">
        <v>7019.0</v>
      </c>
      <c r="G378" s="30">
        <v>125872.0</v>
      </c>
      <c r="I378" s="31"/>
    </row>
    <row r="379" ht="22.5" customHeight="1">
      <c r="A379" s="32">
        <v>45985.0</v>
      </c>
      <c r="B379" s="24">
        <f t="shared" si="4"/>
        <v>2025</v>
      </c>
      <c r="C379" s="25" t="s">
        <v>283</v>
      </c>
      <c r="D379" s="24" t="s">
        <v>80</v>
      </c>
      <c r="E379" s="26">
        <v>70000.0</v>
      </c>
      <c r="F379" s="26">
        <v>0.0</v>
      </c>
      <c r="G379" s="26">
        <v>55872.0</v>
      </c>
      <c r="I379" s="31"/>
    </row>
    <row r="380" ht="22.5" customHeight="1">
      <c r="A380" s="33">
        <v>45985.0</v>
      </c>
      <c r="B380" s="24">
        <f t="shared" si="4"/>
        <v>2025</v>
      </c>
      <c r="C380" s="28" t="s">
        <v>283</v>
      </c>
      <c r="D380" s="29" t="s">
        <v>327</v>
      </c>
      <c r="E380" s="30">
        <v>0.0</v>
      </c>
      <c r="F380" s="30">
        <v>11463.0</v>
      </c>
      <c r="G380" s="30">
        <v>67335.0</v>
      </c>
      <c r="I380" s="31"/>
    </row>
    <row r="381" ht="22.5" customHeight="1">
      <c r="A381" s="32">
        <v>45986.0</v>
      </c>
      <c r="B381" s="24">
        <f t="shared" si="4"/>
        <v>2025</v>
      </c>
      <c r="C381" s="25" t="s">
        <v>283</v>
      </c>
      <c r="D381" s="24" t="s">
        <v>328</v>
      </c>
      <c r="E381" s="26">
        <v>0.0</v>
      </c>
      <c r="F381" s="26">
        <v>10916.0</v>
      </c>
      <c r="G381" s="26">
        <v>78251.0</v>
      </c>
      <c r="I381" s="31"/>
    </row>
    <row r="382" ht="22.5" customHeight="1">
      <c r="A382" s="33">
        <v>45988.0</v>
      </c>
      <c r="B382" s="24">
        <f t="shared" si="4"/>
        <v>2025</v>
      </c>
      <c r="C382" s="28" t="s">
        <v>283</v>
      </c>
      <c r="D382" s="29" t="s">
        <v>329</v>
      </c>
      <c r="E382" s="30">
        <v>0.0</v>
      </c>
      <c r="F382" s="30">
        <v>9002.0</v>
      </c>
      <c r="G382" s="30">
        <v>87253.0</v>
      </c>
      <c r="I382" s="31"/>
    </row>
    <row r="383" ht="22.5" customHeight="1">
      <c r="A383" s="32">
        <v>45988.0</v>
      </c>
      <c r="B383" s="24">
        <f t="shared" si="4"/>
        <v>2025</v>
      </c>
      <c r="C383" s="25" t="s">
        <v>283</v>
      </c>
      <c r="D383" s="24" t="s">
        <v>330</v>
      </c>
      <c r="E383" s="26">
        <v>0.0</v>
      </c>
      <c r="F383" s="26">
        <v>6742.0</v>
      </c>
      <c r="G383" s="26">
        <v>93995.0</v>
      </c>
      <c r="I383" s="31"/>
    </row>
    <row r="384" ht="22.5" customHeight="1">
      <c r="A384" s="33">
        <v>45989.0</v>
      </c>
      <c r="B384" s="24">
        <f t="shared" si="4"/>
        <v>2025</v>
      </c>
      <c r="C384" s="28" t="s">
        <v>283</v>
      </c>
      <c r="D384" s="29" t="s">
        <v>331</v>
      </c>
      <c r="E384" s="30">
        <v>0.0</v>
      </c>
      <c r="F384" s="30">
        <v>11340.0</v>
      </c>
      <c r="G384" s="30">
        <v>105335.0</v>
      </c>
      <c r="I384" s="31"/>
    </row>
    <row r="385" ht="22.5" customHeight="1">
      <c r="A385" s="32">
        <v>45995.0</v>
      </c>
      <c r="B385" s="24">
        <f t="shared" si="4"/>
        <v>2025</v>
      </c>
      <c r="C385" s="25" t="s">
        <v>283</v>
      </c>
      <c r="D385" s="24" t="s">
        <v>332</v>
      </c>
      <c r="E385" s="26">
        <v>0.0</v>
      </c>
      <c r="F385" s="26">
        <v>8732.0</v>
      </c>
      <c r="G385" s="26">
        <v>114067.0</v>
      </c>
      <c r="I385" s="31"/>
    </row>
    <row r="386" ht="22.5" customHeight="1">
      <c r="A386" s="33">
        <v>45995.0</v>
      </c>
      <c r="B386" s="24">
        <f t="shared" si="4"/>
        <v>2025</v>
      </c>
      <c r="C386" s="28" t="s">
        <v>283</v>
      </c>
      <c r="D386" s="29" t="s">
        <v>333</v>
      </c>
      <c r="E386" s="30">
        <v>0.0</v>
      </c>
      <c r="F386" s="30">
        <v>9139.0</v>
      </c>
      <c r="G386" s="30">
        <v>123206.0</v>
      </c>
      <c r="I386" s="31"/>
    </row>
    <row r="387" ht="22.5" customHeight="1">
      <c r="A387" s="32">
        <v>45997.0</v>
      </c>
      <c r="B387" s="24">
        <f t="shared" si="4"/>
        <v>2025</v>
      </c>
      <c r="C387" s="25" t="s">
        <v>283</v>
      </c>
      <c r="D387" s="24" t="s">
        <v>334</v>
      </c>
      <c r="E387" s="26">
        <v>0.0</v>
      </c>
      <c r="F387" s="26">
        <v>11167.0</v>
      </c>
      <c r="G387" s="26">
        <v>134373.0</v>
      </c>
      <c r="I387" s="31"/>
    </row>
    <row r="388" ht="22.5" customHeight="1">
      <c r="A388" s="33">
        <v>46001.0</v>
      </c>
      <c r="B388" s="24">
        <f t="shared" si="4"/>
        <v>2025</v>
      </c>
      <c r="C388" s="28" t="s">
        <v>283</v>
      </c>
      <c r="D388" s="29" t="s">
        <v>82</v>
      </c>
      <c r="E388" s="30">
        <v>100000.0</v>
      </c>
      <c r="F388" s="30">
        <v>0.0</v>
      </c>
      <c r="G388" s="30">
        <v>34373.0</v>
      </c>
      <c r="I388" s="31"/>
    </row>
    <row r="389" ht="22.5" customHeight="1">
      <c r="A389" s="32">
        <v>46003.0</v>
      </c>
      <c r="B389" s="24">
        <f t="shared" si="4"/>
        <v>2025</v>
      </c>
      <c r="C389" s="25" t="s">
        <v>283</v>
      </c>
      <c r="D389" s="24" t="s">
        <v>335</v>
      </c>
      <c r="E389" s="26">
        <v>0.0</v>
      </c>
      <c r="F389" s="26">
        <v>10850.0</v>
      </c>
      <c r="G389" s="26">
        <v>45223.0</v>
      </c>
      <c r="I389" s="31"/>
    </row>
    <row r="390" ht="22.5" customHeight="1">
      <c r="A390" s="33">
        <v>46006.0</v>
      </c>
      <c r="B390" s="24">
        <f t="shared" si="4"/>
        <v>2025</v>
      </c>
      <c r="C390" s="28" t="s">
        <v>283</v>
      </c>
      <c r="D390" s="29" t="s">
        <v>336</v>
      </c>
      <c r="E390" s="30">
        <v>0.0</v>
      </c>
      <c r="F390" s="30">
        <v>10916.0</v>
      </c>
      <c r="G390" s="30">
        <v>56139.0</v>
      </c>
      <c r="I390" s="31"/>
    </row>
    <row r="391" ht="22.5" customHeight="1">
      <c r="A391" s="32">
        <v>46010.0</v>
      </c>
      <c r="B391" s="24">
        <f t="shared" si="4"/>
        <v>2025</v>
      </c>
      <c r="C391" s="25" t="s">
        <v>283</v>
      </c>
      <c r="D391" s="24" t="s">
        <v>337</v>
      </c>
      <c r="E391" s="26">
        <v>0.0</v>
      </c>
      <c r="F391" s="26">
        <v>9933.0</v>
      </c>
      <c r="G391" s="26">
        <v>66072.0</v>
      </c>
      <c r="I391" s="31"/>
    </row>
    <row r="392" ht="22.5" customHeight="1">
      <c r="A392" s="33">
        <v>46016.0</v>
      </c>
      <c r="B392" s="24">
        <f t="shared" si="4"/>
        <v>2025</v>
      </c>
      <c r="C392" s="28" t="s">
        <v>283</v>
      </c>
      <c r="D392" s="29" t="s">
        <v>338</v>
      </c>
      <c r="E392" s="30">
        <v>0.0</v>
      </c>
      <c r="F392" s="30">
        <v>8444.0</v>
      </c>
      <c r="G392" s="30">
        <v>74516.0</v>
      </c>
      <c r="I392" s="31"/>
    </row>
    <row r="393" ht="22.5" customHeight="1">
      <c r="A393" s="32">
        <v>46017.0</v>
      </c>
      <c r="B393" s="24">
        <f t="shared" si="4"/>
        <v>2025</v>
      </c>
      <c r="C393" s="25" t="s">
        <v>283</v>
      </c>
      <c r="D393" s="24" t="s">
        <v>339</v>
      </c>
      <c r="E393" s="26">
        <v>0.0</v>
      </c>
      <c r="F393" s="26">
        <v>12050.0</v>
      </c>
      <c r="G393" s="26">
        <v>86566.0</v>
      </c>
      <c r="I393" s="31"/>
    </row>
    <row r="394" ht="22.5" customHeight="1">
      <c r="A394" s="33">
        <v>46017.0</v>
      </c>
      <c r="B394" s="24">
        <f t="shared" si="4"/>
        <v>2025</v>
      </c>
      <c r="C394" s="28" t="s">
        <v>283</v>
      </c>
      <c r="D394" s="29" t="s">
        <v>340</v>
      </c>
      <c r="E394" s="30">
        <v>0.0</v>
      </c>
      <c r="F394" s="30">
        <v>8700.0</v>
      </c>
      <c r="G394" s="30">
        <v>95266.0</v>
      </c>
      <c r="I394" s="31"/>
    </row>
    <row r="395" ht="22.5" customHeight="1">
      <c r="A395" s="32">
        <v>46021.0</v>
      </c>
      <c r="B395" s="24">
        <f t="shared" si="4"/>
        <v>2025</v>
      </c>
      <c r="C395" s="25" t="s">
        <v>283</v>
      </c>
      <c r="D395" s="24" t="s">
        <v>341</v>
      </c>
      <c r="E395" s="26">
        <v>0.0</v>
      </c>
      <c r="F395" s="26">
        <v>11700.0</v>
      </c>
      <c r="G395" s="26">
        <v>106966.0</v>
      </c>
      <c r="I395" s="31"/>
    </row>
    <row r="396" ht="22.5" customHeight="1">
      <c r="A396" s="33">
        <v>46028.0</v>
      </c>
      <c r="B396" s="24">
        <f t="shared" si="4"/>
        <v>2026</v>
      </c>
      <c r="C396" s="28" t="s">
        <v>283</v>
      </c>
      <c r="D396" s="29" t="s">
        <v>342</v>
      </c>
      <c r="E396" s="30">
        <v>0.0</v>
      </c>
      <c r="F396" s="30">
        <v>21283.0</v>
      </c>
      <c r="G396" s="30">
        <v>128249.0</v>
      </c>
      <c r="I396" s="31"/>
    </row>
    <row r="397" ht="22.5" customHeight="1">
      <c r="A397" s="32">
        <v>46034.0</v>
      </c>
      <c r="B397" s="24">
        <f t="shared" si="4"/>
        <v>2026</v>
      </c>
      <c r="C397" s="25" t="s">
        <v>283</v>
      </c>
      <c r="D397" s="24" t="s">
        <v>343</v>
      </c>
      <c r="E397" s="26">
        <v>0.0</v>
      </c>
      <c r="F397" s="26">
        <v>7641.0</v>
      </c>
      <c r="G397" s="26">
        <v>135890.0</v>
      </c>
      <c r="I397" s="31"/>
    </row>
    <row r="398" ht="22.5" customHeight="1">
      <c r="A398" s="33">
        <v>46035.0</v>
      </c>
      <c r="B398" s="24">
        <f t="shared" si="4"/>
        <v>2026</v>
      </c>
      <c r="C398" s="28" t="s">
        <v>283</v>
      </c>
      <c r="D398" s="29" t="s">
        <v>344</v>
      </c>
      <c r="E398" s="30">
        <v>0.0</v>
      </c>
      <c r="F398" s="30">
        <v>14273.0</v>
      </c>
      <c r="G398" s="30">
        <v>150163.0</v>
      </c>
      <c r="I398" s="31"/>
    </row>
    <row r="399" ht="22.5" customHeight="1">
      <c r="A399" s="32">
        <v>46044.0</v>
      </c>
      <c r="B399" s="24">
        <f t="shared" si="4"/>
        <v>2026</v>
      </c>
      <c r="C399" s="25" t="s">
        <v>283</v>
      </c>
      <c r="D399" s="24" t="s">
        <v>345</v>
      </c>
      <c r="E399" s="26">
        <v>0.0</v>
      </c>
      <c r="F399" s="26">
        <v>7498.0</v>
      </c>
      <c r="G399" s="26">
        <v>157661.0</v>
      </c>
      <c r="I399" s="31"/>
    </row>
    <row r="400" ht="22.5" customHeight="1">
      <c r="A400" s="33">
        <v>46049.0</v>
      </c>
      <c r="B400" s="24">
        <f t="shared" si="4"/>
        <v>2026</v>
      </c>
      <c r="C400" s="28" t="s">
        <v>283</v>
      </c>
      <c r="D400" s="29" t="s">
        <v>82</v>
      </c>
      <c r="E400" s="30">
        <v>100000.0</v>
      </c>
      <c r="F400" s="30">
        <v>0.0</v>
      </c>
      <c r="G400" s="30">
        <v>57661.0</v>
      </c>
      <c r="I400" s="31"/>
    </row>
    <row r="401" ht="22.5" customHeight="1">
      <c r="A401" s="32">
        <v>46049.0</v>
      </c>
      <c r="B401" s="24">
        <f t="shared" si="4"/>
        <v>2026</v>
      </c>
      <c r="C401" s="25" t="s">
        <v>283</v>
      </c>
      <c r="D401" s="24" t="s">
        <v>346</v>
      </c>
      <c r="E401" s="26">
        <v>0.0</v>
      </c>
      <c r="F401" s="26">
        <v>9753.0</v>
      </c>
      <c r="G401" s="26">
        <v>67414.0</v>
      </c>
      <c r="I401" s="31"/>
    </row>
    <row r="402" ht="22.5" customHeight="1">
      <c r="A402" s="33">
        <v>46050.0</v>
      </c>
      <c r="B402" s="24">
        <f t="shared" si="4"/>
        <v>2026</v>
      </c>
      <c r="C402" s="28" t="s">
        <v>283</v>
      </c>
      <c r="D402" s="29" t="s">
        <v>347</v>
      </c>
      <c r="E402" s="30">
        <v>0.0</v>
      </c>
      <c r="F402" s="30">
        <v>5457.0</v>
      </c>
      <c r="G402" s="30">
        <v>72871.0</v>
      </c>
      <c r="I402" s="31"/>
    </row>
    <row r="403" ht="22.5" customHeight="1">
      <c r="A403" s="32">
        <v>46052.0</v>
      </c>
      <c r="B403" s="24">
        <f t="shared" si="4"/>
        <v>2026</v>
      </c>
      <c r="C403" s="25" t="s">
        <v>283</v>
      </c>
      <c r="D403" s="24" t="s">
        <v>348</v>
      </c>
      <c r="E403" s="26">
        <v>0.0</v>
      </c>
      <c r="F403" s="26">
        <v>5883.0</v>
      </c>
      <c r="G403" s="26">
        <v>78754.0</v>
      </c>
      <c r="I403" s="31"/>
    </row>
    <row r="404" ht="22.5" customHeight="1">
      <c r="A404" s="33">
        <v>46055.0</v>
      </c>
      <c r="B404" s="24">
        <f t="shared" si="4"/>
        <v>2026</v>
      </c>
      <c r="C404" s="28" t="s">
        <v>283</v>
      </c>
      <c r="D404" s="29" t="s">
        <v>349</v>
      </c>
      <c r="E404" s="30">
        <v>0.0</v>
      </c>
      <c r="F404" s="30">
        <v>31795.0</v>
      </c>
      <c r="G404" s="30">
        <v>110549.0</v>
      </c>
      <c r="I404" s="31"/>
    </row>
    <row r="405" ht="22.5" customHeight="1">
      <c r="A405" s="32">
        <v>46070.0</v>
      </c>
      <c r="B405" s="24">
        <f t="shared" si="4"/>
        <v>2026</v>
      </c>
      <c r="C405" s="25" t="s">
        <v>283</v>
      </c>
      <c r="D405" s="24" t="s">
        <v>350</v>
      </c>
      <c r="E405" s="26">
        <v>0.0</v>
      </c>
      <c r="F405" s="26">
        <v>9514.0</v>
      </c>
      <c r="G405" s="26">
        <v>120063.0</v>
      </c>
      <c r="I405" s="31"/>
    </row>
    <row r="406" ht="22.5" customHeight="1">
      <c r="A406" s="33">
        <v>46071.0</v>
      </c>
      <c r="B406" s="24">
        <f t="shared" si="4"/>
        <v>2026</v>
      </c>
      <c r="C406" s="28" t="s">
        <v>283</v>
      </c>
      <c r="D406" s="29" t="s">
        <v>351</v>
      </c>
      <c r="E406" s="30">
        <v>0.0</v>
      </c>
      <c r="F406" s="30">
        <v>11416.0</v>
      </c>
      <c r="G406" s="30">
        <v>131479.0</v>
      </c>
      <c r="I406" s="31"/>
    </row>
    <row r="407" ht="22.5" customHeight="1">
      <c r="A407" s="32">
        <v>46076.0</v>
      </c>
      <c r="B407" s="24">
        <f t="shared" si="4"/>
        <v>2026</v>
      </c>
      <c r="C407" s="25" t="s">
        <v>283</v>
      </c>
      <c r="D407" s="24" t="s">
        <v>352</v>
      </c>
      <c r="E407" s="26">
        <v>0.0</v>
      </c>
      <c r="F407" s="26">
        <v>13233.0</v>
      </c>
      <c r="G407" s="26">
        <v>144712.0</v>
      </c>
      <c r="I407" s="31"/>
    </row>
    <row r="408" ht="22.5" customHeight="1">
      <c r="A408" s="33">
        <v>46079.0</v>
      </c>
      <c r="B408" s="24">
        <f t="shared" si="4"/>
        <v>2026</v>
      </c>
      <c r="C408" s="28" t="s">
        <v>283</v>
      </c>
      <c r="D408" s="29" t="s">
        <v>353</v>
      </c>
      <c r="E408" s="30">
        <v>0.0</v>
      </c>
      <c r="F408" s="30">
        <v>7594.0</v>
      </c>
      <c r="G408" s="30">
        <v>152306.0</v>
      </c>
      <c r="I408" s="31"/>
    </row>
    <row r="409" ht="22.5" customHeight="1">
      <c r="A409" s="32">
        <v>46079.0</v>
      </c>
      <c r="B409" s="24">
        <f t="shared" si="4"/>
        <v>2026</v>
      </c>
      <c r="C409" s="25" t="s">
        <v>283</v>
      </c>
      <c r="D409" s="24" t="s">
        <v>354</v>
      </c>
      <c r="E409" s="26">
        <v>0.0</v>
      </c>
      <c r="F409" s="26">
        <v>6402.0</v>
      </c>
      <c r="G409" s="26">
        <v>158708.0</v>
      </c>
      <c r="I409" s="31"/>
    </row>
    <row r="410" ht="22.5" customHeight="1">
      <c r="A410" s="33">
        <v>46081.0</v>
      </c>
      <c r="B410" s="24">
        <f t="shared" si="4"/>
        <v>2026</v>
      </c>
      <c r="C410" s="28" t="s">
        <v>283</v>
      </c>
      <c r="D410" s="29" t="s">
        <v>355</v>
      </c>
      <c r="E410" s="30">
        <v>0.0</v>
      </c>
      <c r="F410" s="30">
        <v>10931.0</v>
      </c>
      <c r="G410" s="30">
        <v>169639.0</v>
      </c>
      <c r="I410" s="31"/>
    </row>
    <row r="411" ht="22.5" customHeight="1">
      <c r="A411" s="32">
        <v>46088.0</v>
      </c>
      <c r="B411" s="24">
        <f t="shared" si="4"/>
        <v>2026</v>
      </c>
      <c r="C411" s="25" t="s">
        <v>283</v>
      </c>
      <c r="D411" s="24" t="s">
        <v>356</v>
      </c>
      <c r="E411" s="26">
        <v>0.0</v>
      </c>
      <c r="F411" s="26">
        <v>10627.0</v>
      </c>
      <c r="G411" s="26">
        <v>180266.0</v>
      </c>
      <c r="I411" s="31"/>
    </row>
    <row r="412" ht="22.5" customHeight="1">
      <c r="A412" s="33">
        <v>46089.0</v>
      </c>
      <c r="B412" s="24">
        <f t="shared" si="4"/>
        <v>2026</v>
      </c>
      <c r="C412" s="28" t="s">
        <v>283</v>
      </c>
      <c r="D412" s="29" t="s">
        <v>357</v>
      </c>
      <c r="E412" s="30">
        <v>0.0</v>
      </c>
      <c r="F412" s="30">
        <v>10846.0</v>
      </c>
      <c r="G412" s="30">
        <v>191112.0</v>
      </c>
      <c r="I412" s="31"/>
    </row>
    <row r="413" ht="22.5" customHeight="1">
      <c r="A413" s="32">
        <v>46092.0</v>
      </c>
      <c r="B413" s="24">
        <f t="shared" si="4"/>
        <v>2026</v>
      </c>
      <c r="C413" s="25" t="s">
        <v>283</v>
      </c>
      <c r="D413" s="24" t="s">
        <v>358</v>
      </c>
      <c r="E413" s="26">
        <v>0.0</v>
      </c>
      <c r="F413" s="26">
        <v>12192.0</v>
      </c>
      <c r="G413" s="26">
        <v>203304.0</v>
      </c>
      <c r="I413" s="31"/>
    </row>
    <row r="414" ht="22.5" customHeight="1">
      <c r="A414" s="33">
        <v>46095.0</v>
      </c>
      <c r="B414" s="24">
        <f t="shared" si="4"/>
        <v>2026</v>
      </c>
      <c r="C414" s="28" t="s">
        <v>283</v>
      </c>
      <c r="D414" s="29" t="s">
        <v>82</v>
      </c>
      <c r="E414" s="30">
        <v>150000.0</v>
      </c>
      <c r="F414" s="30">
        <v>0.0</v>
      </c>
      <c r="G414" s="30">
        <v>53304.0</v>
      </c>
      <c r="I414" s="31"/>
    </row>
    <row r="415" ht="22.5" customHeight="1">
      <c r="A415" s="32">
        <v>46098.0</v>
      </c>
      <c r="B415" s="24">
        <f t="shared" si="4"/>
        <v>2026</v>
      </c>
      <c r="C415" s="25" t="s">
        <v>283</v>
      </c>
      <c r="D415" s="24" t="s">
        <v>359</v>
      </c>
      <c r="E415" s="26">
        <v>0.0</v>
      </c>
      <c r="F415" s="26">
        <v>10697.0</v>
      </c>
      <c r="G415" s="26">
        <v>64001.0</v>
      </c>
      <c r="I415" s="31"/>
    </row>
    <row r="416" ht="22.5" customHeight="1">
      <c r="A416" s="33">
        <v>45748.0</v>
      </c>
      <c r="B416" s="24">
        <f t="shared" si="4"/>
        <v>2025</v>
      </c>
      <c r="C416" s="28" t="s">
        <v>360</v>
      </c>
      <c r="D416" s="29" t="s">
        <v>71</v>
      </c>
      <c r="E416" s="30">
        <v>0.0</v>
      </c>
      <c r="F416" s="30">
        <v>33008.0</v>
      </c>
      <c r="G416" s="30">
        <v>33008.0</v>
      </c>
      <c r="I416" s="31"/>
    </row>
    <row r="417" ht="22.5" customHeight="1">
      <c r="A417" s="32">
        <v>45833.0</v>
      </c>
      <c r="B417" s="24">
        <f t="shared" si="4"/>
        <v>2025</v>
      </c>
      <c r="C417" s="25" t="s">
        <v>360</v>
      </c>
      <c r="D417" s="24" t="s">
        <v>361</v>
      </c>
      <c r="E417" s="26">
        <v>0.0</v>
      </c>
      <c r="F417" s="26">
        <v>6922.0</v>
      </c>
      <c r="G417" s="26">
        <v>39930.0</v>
      </c>
      <c r="I417" s="31"/>
    </row>
    <row r="418" ht="22.5" customHeight="1">
      <c r="A418" s="33">
        <v>45856.0</v>
      </c>
      <c r="B418" s="24">
        <f t="shared" si="4"/>
        <v>2025</v>
      </c>
      <c r="C418" s="28" t="s">
        <v>360</v>
      </c>
      <c r="D418" s="29" t="s">
        <v>362</v>
      </c>
      <c r="E418" s="30">
        <v>0.0</v>
      </c>
      <c r="F418" s="30">
        <v>3752.0</v>
      </c>
      <c r="G418" s="30">
        <v>43682.0</v>
      </c>
      <c r="I418" s="31"/>
    </row>
    <row r="419" ht="22.5" customHeight="1">
      <c r="A419" s="32">
        <v>45876.0</v>
      </c>
      <c r="B419" s="24">
        <f t="shared" si="4"/>
        <v>2025</v>
      </c>
      <c r="C419" s="25" t="s">
        <v>360</v>
      </c>
      <c r="D419" s="24" t="s">
        <v>363</v>
      </c>
      <c r="E419" s="26">
        <v>0.0</v>
      </c>
      <c r="F419" s="26">
        <v>8960.0</v>
      </c>
      <c r="G419" s="26">
        <v>52642.0</v>
      </c>
      <c r="I419" s="31"/>
    </row>
    <row r="420" ht="22.5" customHeight="1">
      <c r="A420" s="33">
        <v>45904.0</v>
      </c>
      <c r="B420" s="24">
        <f t="shared" si="4"/>
        <v>2025</v>
      </c>
      <c r="C420" s="28" t="s">
        <v>360</v>
      </c>
      <c r="D420" s="29" t="s">
        <v>364</v>
      </c>
      <c r="E420" s="30">
        <v>0.0</v>
      </c>
      <c r="F420" s="30">
        <v>5600.0</v>
      </c>
      <c r="G420" s="30">
        <v>58242.0</v>
      </c>
      <c r="I420" s="31"/>
    </row>
    <row r="421" ht="22.5" customHeight="1">
      <c r="A421" s="32">
        <v>45904.0</v>
      </c>
      <c r="B421" s="24">
        <f t="shared" si="4"/>
        <v>2025</v>
      </c>
      <c r="C421" s="25" t="s">
        <v>360</v>
      </c>
      <c r="D421" s="24" t="s">
        <v>365</v>
      </c>
      <c r="E421" s="26">
        <v>0.0</v>
      </c>
      <c r="F421" s="26">
        <v>4480.0</v>
      </c>
      <c r="G421" s="26">
        <v>62722.0</v>
      </c>
      <c r="I421" s="31"/>
    </row>
    <row r="422" ht="22.5" customHeight="1">
      <c r="A422" s="33">
        <v>45908.0</v>
      </c>
      <c r="B422" s="24">
        <f t="shared" si="4"/>
        <v>2025</v>
      </c>
      <c r="C422" s="28" t="s">
        <v>360</v>
      </c>
      <c r="D422" s="29" t="s">
        <v>366</v>
      </c>
      <c r="E422" s="30">
        <v>0.0</v>
      </c>
      <c r="F422" s="30">
        <v>25200.0</v>
      </c>
      <c r="G422" s="30">
        <v>87922.0</v>
      </c>
      <c r="I422" s="31"/>
    </row>
    <row r="423" ht="22.5" customHeight="1">
      <c r="A423" s="32">
        <v>45909.0</v>
      </c>
      <c r="B423" s="24">
        <f t="shared" si="4"/>
        <v>2025</v>
      </c>
      <c r="C423" s="25" t="s">
        <v>360</v>
      </c>
      <c r="D423" s="24" t="s">
        <v>367</v>
      </c>
      <c r="E423" s="26">
        <v>0.0</v>
      </c>
      <c r="F423" s="26">
        <v>8680.0</v>
      </c>
      <c r="G423" s="26">
        <v>96602.0</v>
      </c>
      <c r="I423" s="31"/>
    </row>
    <row r="424" ht="22.5" customHeight="1">
      <c r="A424" s="33">
        <v>45922.0</v>
      </c>
      <c r="B424" s="24">
        <f t="shared" si="4"/>
        <v>2025</v>
      </c>
      <c r="C424" s="28" t="s">
        <v>360</v>
      </c>
      <c r="D424" s="29" t="s">
        <v>368</v>
      </c>
      <c r="E424" s="30">
        <v>0.0</v>
      </c>
      <c r="F424" s="30">
        <v>6018.0</v>
      </c>
      <c r="G424" s="30">
        <v>102620.0</v>
      </c>
      <c r="I424" s="31"/>
    </row>
    <row r="425" ht="22.5" customHeight="1">
      <c r="A425" s="32">
        <v>45923.0</v>
      </c>
      <c r="B425" s="24">
        <f t="shared" si="4"/>
        <v>2025</v>
      </c>
      <c r="C425" s="25" t="s">
        <v>360</v>
      </c>
      <c r="D425" s="24" t="s">
        <v>82</v>
      </c>
      <c r="E425" s="26">
        <v>35080.0</v>
      </c>
      <c r="F425" s="26">
        <v>0.0</v>
      </c>
      <c r="G425" s="26">
        <v>67540.0</v>
      </c>
      <c r="I425" s="31"/>
    </row>
    <row r="426" ht="22.5" customHeight="1">
      <c r="A426" s="33">
        <v>45929.0</v>
      </c>
      <c r="B426" s="24">
        <f t="shared" si="4"/>
        <v>2025</v>
      </c>
      <c r="C426" s="28" t="s">
        <v>360</v>
      </c>
      <c r="D426" s="29" t="s">
        <v>369</v>
      </c>
      <c r="E426" s="30">
        <v>0.0</v>
      </c>
      <c r="F426" s="30">
        <v>1416.0</v>
      </c>
      <c r="G426" s="30">
        <v>68956.0</v>
      </c>
      <c r="I426" s="31"/>
    </row>
    <row r="427" ht="22.5" customHeight="1">
      <c r="A427" s="32">
        <v>45953.0</v>
      </c>
      <c r="B427" s="24">
        <f t="shared" si="4"/>
        <v>2025</v>
      </c>
      <c r="C427" s="25" t="s">
        <v>360</v>
      </c>
      <c r="D427" s="24" t="s">
        <v>370</v>
      </c>
      <c r="E427" s="26">
        <v>0.0</v>
      </c>
      <c r="F427" s="26">
        <v>24780.0</v>
      </c>
      <c r="G427" s="26">
        <v>93736.0</v>
      </c>
      <c r="I427" s="31"/>
    </row>
    <row r="428" ht="22.5" customHeight="1">
      <c r="A428" s="33">
        <v>45961.0</v>
      </c>
      <c r="B428" s="24">
        <f t="shared" si="4"/>
        <v>2025</v>
      </c>
      <c r="C428" s="28" t="s">
        <v>360</v>
      </c>
      <c r="D428" s="29" t="s">
        <v>371</v>
      </c>
      <c r="E428" s="30">
        <v>0.0</v>
      </c>
      <c r="F428" s="30">
        <v>26550.0</v>
      </c>
      <c r="G428" s="30">
        <v>120286.0</v>
      </c>
      <c r="I428" s="31"/>
    </row>
    <row r="429" ht="22.5" customHeight="1">
      <c r="A429" s="32">
        <v>45967.0</v>
      </c>
      <c r="B429" s="24">
        <f t="shared" si="4"/>
        <v>2025</v>
      </c>
      <c r="C429" s="25" t="s">
        <v>360</v>
      </c>
      <c r="D429" s="24" t="s">
        <v>372</v>
      </c>
      <c r="E429" s="26">
        <v>0.0</v>
      </c>
      <c r="F429" s="26">
        <v>17700.0</v>
      </c>
      <c r="G429" s="26">
        <v>137986.0</v>
      </c>
      <c r="I429" s="31"/>
    </row>
    <row r="430" ht="22.5" customHeight="1">
      <c r="A430" s="33">
        <v>45982.0</v>
      </c>
      <c r="B430" s="24">
        <f t="shared" si="4"/>
        <v>2025</v>
      </c>
      <c r="C430" s="28" t="s">
        <v>360</v>
      </c>
      <c r="D430" s="29" t="s">
        <v>373</v>
      </c>
      <c r="E430" s="30">
        <v>0.0</v>
      </c>
      <c r="F430" s="30">
        <v>18998.0</v>
      </c>
      <c r="G430" s="30">
        <v>156984.0</v>
      </c>
      <c r="I430" s="31"/>
    </row>
    <row r="431" ht="22.5" customHeight="1">
      <c r="A431" s="32">
        <v>45989.0</v>
      </c>
      <c r="B431" s="24">
        <f t="shared" si="4"/>
        <v>2025</v>
      </c>
      <c r="C431" s="25" t="s">
        <v>360</v>
      </c>
      <c r="D431" s="24" t="s">
        <v>374</v>
      </c>
      <c r="E431" s="26">
        <v>0.0</v>
      </c>
      <c r="F431" s="26">
        <v>14810.0</v>
      </c>
      <c r="G431" s="26">
        <v>171794.0</v>
      </c>
      <c r="I431" s="31"/>
    </row>
    <row r="432" ht="22.5" customHeight="1">
      <c r="A432" s="33">
        <v>46001.0</v>
      </c>
      <c r="B432" s="24">
        <f t="shared" si="4"/>
        <v>2025</v>
      </c>
      <c r="C432" s="28" t="s">
        <v>360</v>
      </c>
      <c r="D432" s="29" t="s">
        <v>375</v>
      </c>
      <c r="E432" s="30">
        <v>0.0</v>
      </c>
      <c r="F432" s="30">
        <v>16756.0</v>
      </c>
      <c r="G432" s="30">
        <v>188550.0</v>
      </c>
      <c r="I432" s="31"/>
    </row>
    <row r="433" ht="22.5" customHeight="1">
      <c r="A433" s="32">
        <v>46004.0</v>
      </c>
      <c r="B433" s="24">
        <f t="shared" si="4"/>
        <v>2025</v>
      </c>
      <c r="C433" s="25" t="s">
        <v>360</v>
      </c>
      <c r="D433" s="24" t="s">
        <v>376</v>
      </c>
      <c r="E433" s="26">
        <v>0.0</v>
      </c>
      <c r="F433" s="26">
        <v>13688.0</v>
      </c>
      <c r="G433" s="26">
        <v>202238.0</v>
      </c>
      <c r="I433" s="31"/>
    </row>
    <row r="434" ht="22.5" customHeight="1">
      <c r="A434" s="33">
        <v>46010.0</v>
      </c>
      <c r="B434" s="24">
        <f t="shared" si="4"/>
        <v>2025</v>
      </c>
      <c r="C434" s="28" t="s">
        <v>360</v>
      </c>
      <c r="D434" s="29" t="s">
        <v>377</v>
      </c>
      <c r="E434" s="30">
        <v>0.0</v>
      </c>
      <c r="F434" s="30">
        <v>21240.0</v>
      </c>
      <c r="G434" s="30">
        <v>223478.0</v>
      </c>
      <c r="I434" s="31"/>
    </row>
    <row r="435" ht="22.5" customHeight="1">
      <c r="A435" s="32">
        <v>46021.0</v>
      </c>
      <c r="B435" s="24">
        <f t="shared" si="4"/>
        <v>2025</v>
      </c>
      <c r="C435" s="25" t="s">
        <v>360</v>
      </c>
      <c r="D435" s="24" t="s">
        <v>378</v>
      </c>
      <c r="E435" s="26">
        <v>0.0</v>
      </c>
      <c r="F435" s="26">
        <v>50000.0</v>
      </c>
      <c r="G435" s="26">
        <v>273478.0</v>
      </c>
      <c r="I435" s="31"/>
    </row>
    <row r="436" ht="22.5" customHeight="1">
      <c r="A436" s="33">
        <v>46022.0</v>
      </c>
      <c r="B436" s="24">
        <f t="shared" si="4"/>
        <v>2025</v>
      </c>
      <c r="C436" s="28" t="s">
        <v>360</v>
      </c>
      <c r="D436" s="29" t="s">
        <v>379</v>
      </c>
      <c r="E436" s="30">
        <v>0.0</v>
      </c>
      <c r="F436" s="30">
        <v>50000.0</v>
      </c>
      <c r="G436" s="30">
        <v>323478.0</v>
      </c>
      <c r="I436" s="31"/>
    </row>
    <row r="437" ht="22.5" customHeight="1">
      <c r="A437" s="32">
        <v>46022.0</v>
      </c>
      <c r="B437" s="24">
        <f t="shared" si="4"/>
        <v>2025</v>
      </c>
      <c r="C437" s="25" t="s">
        <v>360</v>
      </c>
      <c r="D437" s="24" t="s">
        <v>82</v>
      </c>
      <c r="E437" s="26">
        <v>50000.0</v>
      </c>
      <c r="F437" s="26">
        <v>0.0</v>
      </c>
      <c r="G437" s="26">
        <v>273478.0</v>
      </c>
      <c r="I437" s="31"/>
    </row>
    <row r="438" ht="22.5" customHeight="1">
      <c r="A438" s="33">
        <v>46022.0</v>
      </c>
      <c r="B438" s="24">
        <f t="shared" si="4"/>
        <v>2025</v>
      </c>
      <c r="C438" s="28" t="s">
        <v>360</v>
      </c>
      <c r="D438" s="29" t="s">
        <v>380</v>
      </c>
      <c r="E438" s="30">
        <v>0.0</v>
      </c>
      <c r="F438" s="30">
        <v>21878.0</v>
      </c>
      <c r="G438" s="30">
        <v>295356.0</v>
      </c>
      <c r="I438" s="31"/>
    </row>
    <row r="439" ht="22.5" customHeight="1">
      <c r="A439" s="32">
        <v>46031.0</v>
      </c>
      <c r="B439" s="24">
        <f t="shared" si="4"/>
        <v>2026</v>
      </c>
      <c r="C439" s="25" t="s">
        <v>360</v>
      </c>
      <c r="D439" s="24" t="s">
        <v>381</v>
      </c>
      <c r="E439" s="26">
        <v>0.0</v>
      </c>
      <c r="F439" s="26">
        <v>10856.0</v>
      </c>
      <c r="G439" s="26">
        <v>306212.0</v>
      </c>
      <c r="I439" s="31"/>
    </row>
    <row r="440" ht="22.5" customHeight="1">
      <c r="A440" s="33">
        <v>46032.0</v>
      </c>
      <c r="B440" s="24">
        <f t="shared" si="4"/>
        <v>2026</v>
      </c>
      <c r="C440" s="28" t="s">
        <v>360</v>
      </c>
      <c r="D440" s="29" t="s">
        <v>382</v>
      </c>
      <c r="E440" s="30">
        <v>0.0</v>
      </c>
      <c r="F440" s="30">
        <v>12096.0</v>
      </c>
      <c r="G440" s="30">
        <v>318308.0</v>
      </c>
      <c r="I440" s="31"/>
    </row>
    <row r="441" ht="22.5" customHeight="1">
      <c r="A441" s="32">
        <v>46037.0</v>
      </c>
      <c r="B441" s="24">
        <f t="shared" si="4"/>
        <v>2026</v>
      </c>
      <c r="C441" s="25" t="s">
        <v>360</v>
      </c>
      <c r="D441" s="24" t="s">
        <v>82</v>
      </c>
      <c r="E441" s="26">
        <v>50000.0</v>
      </c>
      <c r="F441" s="26">
        <v>0.0</v>
      </c>
      <c r="G441" s="26">
        <v>268308.0</v>
      </c>
      <c r="I441" s="31"/>
    </row>
    <row r="442" ht="22.5" customHeight="1">
      <c r="A442" s="33">
        <v>46049.0</v>
      </c>
      <c r="B442" s="24">
        <f t="shared" si="4"/>
        <v>2026</v>
      </c>
      <c r="C442" s="28" t="s">
        <v>360</v>
      </c>
      <c r="D442" s="29" t="s">
        <v>383</v>
      </c>
      <c r="E442" s="30">
        <v>0.0</v>
      </c>
      <c r="F442" s="30">
        <v>23954.0</v>
      </c>
      <c r="G442" s="30">
        <v>292262.0</v>
      </c>
      <c r="I442" s="31"/>
    </row>
    <row r="443" ht="22.5" customHeight="1">
      <c r="A443" s="32">
        <v>45748.0</v>
      </c>
      <c r="B443" s="24">
        <f t="shared" si="4"/>
        <v>2025</v>
      </c>
      <c r="C443" s="25" t="s">
        <v>384</v>
      </c>
      <c r="D443" s="24" t="s">
        <v>71</v>
      </c>
      <c r="E443" s="26">
        <v>0.0</v>
      </c>
      <c r="F443" s="26">
        <v>0.0</v>
      </c>
      <c r="G443" s="26">
        <v>0.0</v>
      </c>
      <c r="I443" s="31"/>
    </row>
    <row r="444" ht="22.5" customHeight="1">
      <c r="A444" s="33">
        <v>46091.0</v>
      </c>
      <c r="B444" s="24">
        <f t="shared" si="4"/>
        <v>2026</v>
      </c>
      <c r="C444" s="28" t="s">
        <v>384</v>
      </c>
      <c r="D444" s="29" t="s">
        <v>385</v>
      </c>
      <c r="E444" s="30">
        <v>0.0</v>
      </c>
      <c r="F444" s="30">
        <v>22384.0</v>
      </c>
      <c r="G444" s="30">
        <v>22384.0</v>
      </c>
      <c r="I444" s="53"/>
    </row>
    <row r="445" ht="22.5" customHeight="1">
      <c r="A445" s="32">
        <v>46093.0</v>
      </c>
      <c r="B445" s="24">
        <f t="shared" si="4"/>
        <v>2026</v>
      </c>
      <c r="C445" s="25" t="s">
        <v>384</v>
      </c>
      <c r="D445" s="24" t="s">
        <v>171</v>
      </c>
      <c r="E445" s="26">
        <v>0.0</v>
      </c>
      <c r="F445" s="26">
        <v>22302.0</v>
      </c>
      <c r="G445" s="26">
        <v>44686.0</v>
      </c>
      <c r="I445" s="53"/>
    </row>
    <row r="446" ht="22.5" customHeight="1">
      <c r="A446" s="33">
        <v>46118.0</v>
      </c>
      <c r="B446" s="24">
        <f t="shared" si="4"/>
        <v>2026</v>
      </c>
      <c r="C446" s="54" t="s">
        <v>232</v>
      </c>
      <c r="D446" s="55"/>
      <c r="E446" s="30">
        <v>0.0</v>
      </c>
      <c r="F446" s="30">
        <v>30591.0</v>
      </c>
      <c r="G446" s="56"/>
      <c r="I446" s="53"/>
    </row>
    <row r="447" ht="22.5" customHeight="1">
      <c r="A447" s="32">
        <v>46125.0</v>
      </c>
      <c r="B447" s="24">
        <f t="shared" si="4"/>
        <v>2026</v>
      </c>
      <c r="C447" s="25" t="s">
        <v>232</v>
      </c>
      <c r="D447" s="24"/>
      <c r="E447" s="26">
        <v>0.0</v>
      </c>
      <c r="F447" s="26">
        <v>20060.0</v>
      </c>
      <c r="G447" s="57"/>
      <c r="I447" s="53"/>
    </row>
    <row r="448" ht="22.5" customHeight="1">
      <c r="A448" s="33">
        <v>46115.0</v>
      </c>
      <c r="B448" s="24">
        <f t="shared" si="4"/>
        <v>2026</v>
      </c>
      <c r="C448" s="28" t="s">
        <v>236</v>
      </c>
      <c r="D448" s="29"/>
      <c r="E448" s="56"/>
      <c r="F448" s="30">
        <v>8565.0</v>
      </c>
      <c r="G448" s="56"/>
      <c r="I448" s="53"/>
    </row>
    <row r="449" ht="22.5" customHeight="1">
      <c r="A449" s="32">
        <v>46116.0</v>
      </c>
      <c r="B449" s="24">
        <f t="shared" si="4"/>
        <v>2026</v>
      </c>
      <c r="C449" s="25" t="s">
        <v>236</v>
      </c>
      <c r="D449" s="24"/>
      <c r="E449" s="57"/>
      <c r="F449" s="26">
        <v>4248.0</v>
      </c>
      <c r="G449" s="57"/>
      <c r="I449" s="53"/>
    </row>
    <row r="450" ht="22.5" customHeight="1">
      <c r="A450" s="33">
        <v>46116.0</v>
      </c>
      <c r="B450" s="24">
        <f t="shared" si="4"/>
        <v>2026</v>
      </c>
      <c r="C450" s="28" t="s">
        <v>236</v>
      </c>
      <c r="D450" s="29"/>
      <c r="E450" s="56"/>
      <c r="F450" s="30">
        <v>2064.0</v>
      </c>
      <c r="G450" s="56"/>
      <c r="I450" s="53"/>
    </row>
    <row r="451" ht="22.5" customHeight="1">
      <c r="A451" s="32">
        <v>46118.0</v>
      </c>
      <c r="B451" s="24">
        <f t="shared" si="4"/>
        <v>2026</v>
      </c>
      <c r="C451" s="25" t="s">
        <v>236</v>
      </c>
      <c r="D451" s="24"/>
      <c r="E451" s="57"/>
      <c r="F451" s="26">
        <v>12934.0</v>
      </c>
      <c r="G451" s="57"/>
      <c r="I451" s="53"/>
    </row>
    <row r="452" ht="22.5" customHeight="1">
      <c r="A452" s="33">
        <v>46121.0</v>
      </c>
      <c r="B452" s="24">
        <f t="shared" si="4"/>
        <v>2026</v>
      </c>
      <c r="C452" s="28" t="s">
        <v>236</v>
      </c>
      <c r="D452" s="29"/>
      <c r="E452" s="56"/>
      <c r="F452" s="30">
        <v>13942.0</v>
      </c>
      <c r="G452" s="56"/>
      <c r="I452" s="53"/>
    </row>
    <row r="453" ht="22.5" customHeight="1">
      <c r="A453" s="32">
        <v>46122.0</v>
      </c>
      <c r="B453" s="24">
        <f t="shared" si="4"/>
        <v>2026</v>
      </c>
      <c r="C453" s="25" t="s">
        <v>236</v>
      </c>
      <c r="D453" s="24"/>
      <c r="E453" s="57"/>
      <c r="F453" s="26">
        <v>22352.0</v>
      </c>
      <c r="G453" s="57"/>
      <c r="I453" s="53"/>
    </row>
    <row r="454" ht="22.5" customHeight="1">
      <c r="A454" s="33">
        <v>46123.0</v>
      </c>
      <c r="B454" s="24">
        <f t="shared" si="4"/>
        <v>2026</v>
      </c>
      <c r="C454" s="28" t="s">
        <v>236</v>
      </c>
      <c r="D454" s="29"/>
      <c r="E454" s="56"/>
      <c r="F454" s="30">
        <v>6562.0</v>
      </c>
      <c r="G454" s="56"/>
      <c r="I454" s="53"/>
    </row>
    <row r="455" ht="22.5" customHeight="1">
      <c r="A455" s="32">
        <v>46123.0</v>
      </c>
      <c r="B455" s="24">
        <f t="shared" si="4"/>
        <v>2026</v>
      </c>
      <c r="C455" s="25" t="s">
        <v>236</v>
      </c>
      <c r="D455" s="24"/>
      <c r="E455" s="57"/>
      <c r="F455" s="26">
        <v>8933.0</v>
      </c>
      <c r="G455" s="57"/>
      <c r="I455" s="53"/>
    </row>
    <row r="456" ht="22.5" customHeight="1">
      <c r="A456" s="33">
        <v>46125.0</v>
      </c>
      <c r="B456" s="24">
        <f t="shared" si="4"/>
        <v>2026</v>
      </c>
      <c r="C456" s="28" t="s">
        <v>236</v>
      </c>
      <c r="D456" s="29"/>
      <c r="E456" s="56"/>
      <c r="F456" s="30">
        <v>8631.0</v>
      </c>
      <c r="G456" s="56"/>
      <c r="I456" s="53"/>
    </row>
    <row r="457" ht="22.5" customHeight="1">
      <c r="A457" s="32">
        <v>46126.0</v>
      </c>
      <c r="B457" s="24">
        <f t="shared" si="4"/>
        <v>2026</v>
      </c>
      <c r="C457" s="25" t="s">
        <v>236</v>
      </c>
      <c r="D457" s="24"/>
      <c r="E457" s="57"/>
      <c r="F457" s="26">
        <v>21993.0</v>
      </c>
      <c r="G457" s="57"/>
      <c r="I457" s="53"/>
    </row>
    <row r="458" ht="22.5" customHeight="1">
      <c r="A458" s="33">
        <v>46114.0</v>
      </c>
      <c r="B458" s="24">
        <f t="shared" si="4"/>
        <v>2026</v>
      </c>
      <c r="C458" s="28" t="s">
        <v>88</v>
      </c>
      <c r="D458" s="29"/>
      <c r="E458" s="29"/>
      <c r="F458" s="30">
        <v>12036.0</v>
      </c>
      <c r="G458" s="56"/>
      <c r="I458" s="53"/>
    </row>
    <row r="459" ht="22.5" customHeight="1">
      <c r="A459" s="32">
        <v>46115.0</v>
      </c>
      <c r="B459" s="24">
        <f t="shared" si="4"/>
        <v>2026</v>
      </c>
      <c r="C459" s="25" t="s">
        <v>88</v>
      </c>
      <c r="D459" s="24"/>
      <c r="E459" s="24"/>
      <c r="F459" s="26">
        <v>11398.0</v>
      </c>
      <c r="G459" s="57"/>
      <c r="I459" s="53"/>
    </row>
    <row r="460" ht="22.5" customHeight="1">
      <c r="A460" s="33">
        <v>46118.0</v>
      </c>
      <c r="B460" s="24">
        <f t="shared" si="4"/>
        <v>2026</v>
      </c>
      <c r="C460" s="28" t="s">
        <v>105</v>
      </c>
      <c r="D460" s="29"/>
      <c r="E460" s="56"/>
      <c r="F460" s="30">
        <v>9842.0</v>
      </c>
      <c r="G460" s="56"/>
      <c r="I460" s="53"/>
    </row>
    <row r="461" ht="22.5" customHeight="1">
      <c r="A461" s="32">
        <v>46119.0</v>
      </c>
      <c r="B461" s="24">
        <f t="shared" si="4"/>
        <v>2026</v>
      </c>
      <c r="C461" s="25" t="s">
        <v>105</v>
      </c>
      <c r="D461" s="24"/>
      <c r="E461" s="57"/>
      <c r="F461" s="26">
        <v>18408.0</v>
      </c>
      <c r="G461" s="57"/>
      <c r="I461" s="53"/>
    </row>
    <row r="462" ht="22.5" customHeight="1">
      <c r="A462" s="33">
        <v>46123.0</v>
      </c>
      <c r="B462" s="24">
        <f t="shared" si="4"/>
        <v>2026</v>
      </c>
      <c r="C462" s="28" t="s">
        <v>105</v>
      </c>
      <c r="D462" s="29"/>
      <c r="E462" s="56"/>
      <c r="F462" s="30">
        <v>18054.0</v>
      </c>
      <c r="G462" s="56"/>
      <c r="I462" s="53"/>
    </row>
    <row r="463" ht="22.5" customHeight="1">
      <c r="A463" s="32">
        <v>46126.0</v>
      </c>
      <c r="B463" s="24">
        <f t="shared" si="4"/>
        <v>2026</v>
      </c>
      <c r="C463" s="25" t="s">
        <v>105</v>
      </c>
      <c r="D463" s="24"/>
      <c r="E463" s="57"/>
      <c r="F463" s="26">
        <v>28585.0</v>
      </c>
      <c r="G463" s="57"/>
      <c r="I463" s="53"/>
    </row>
    <row r="464" ht="22.5" customHeight="1">
      <c r="A464" s="33">
        <v>46129.0</v>
      </c>
      <c r="B464" s="24">
        <f t="shared" si="4"/>
        <v>2026</v>
      </c>
      <c r="C464" s="28" t="s">
        <v>105</v>
      </c>
      <c r="D464" s="29"/>
      <c r="E464" s="56"/>
      <c r="F464" s="30">
        <v>24469.0</v>
      </c>
      <c r="G464" s="56"/>
      <c r="I464" s="53"/>
    </row>
    <row r="465" ht="22.5" customHeight="1">
      <c r="A465" s="32">
        <v>46129.0</v>
      </c>
      <c r="B465" s="24">
        <f t="shared" si="4"/>
        <v>2026</v>
      </c>
      <c r="C465" s="25" t="s">
        <v>105</v>
      </c>
      <c r="D465" s="24"/>
      <c r="E465" s="57"/>
      <c r="F465" s="26">
        <v>31381.0</v>
      </c>
      <c r="G465" s="57"/>
      <c r="I465" s="53"/>
    </row>
    <row r="466" ht="22.5" customHeight="1">
      <c r="A466" s="33">
        <v>46122.0</v>
      </c>
      <c r="B466" s="24">
        <f t="shared" si="4"/>
        <v>2026</v>
      </c>
      <c r="C466" s="28" t="s">
        <v>243</v>
      </c>
      <c r="D466" s="29"/>
      <c r="E466" s="56"/>
      <c r="F466" s="30">
        <v>8850.0</v>
      </c>
      <c r="G466" s="56"/>
      <c r="I466" s="53"/>
    </row>
    <row r="467" ht="22.5" customHeight="1">
      <c r="A467" s="32">
        <v>46115.0</v>
      </c>
      <c r="B467" s="24">
        <f t="shared" si="4"/>
        <v>2026</v>
      </c>
      <c r="C467" s="25" t="s">
        <v>243</v>
      </c>
      <c r="D467" s="24"/>
      <c r="E467" s="57"/>
      <c r="F467" s="26">
        <v>4720.0</v>
      </c>
      <c r="G467" s="57"/>
      <c r="I467" s="53"/>
    </row>
    <row r="468" ht="22.5" customHeight="1">
      <c r="A468" s="33">
        <v>46119.0</v>
      </c>
      <c r="B468" s="24">
        <f t="shared" si="4"/>
        <v>2026</v>
      </c>
      <c r="C468" s="28" t="s">
        <v>279</v>
      </c>
      <c r="D468" s="29"/>
      <c r="E468" s="56"/>
      <c r="F468" s="30">
        <v>5688.0</v>
      </c>
      <c r="G468" s="56"/>
      <c r="I468" s="53"/>
    </row>
    <row r="469" ht="22.5" customHeight="1">
      <c r="A469" s="32">
        <v>46128.0</v>
      </c>
      <c r="B469" s="24">
        <f t="shared" si="4"/>
        <v>2026</v>
      </c>
      <c r="C469" s="25" t="s">
        <v>279</v>
      </c>
      <c r="D469" s="24"/>
      <c r="E469" s="57"/>
      <c r="F469" s="26">
        <v>6218.0</v>
      </c>
      <c r="G469" s="57"/>
      <c r="I469" s="53"/>
    </row>
    <row r="470" ht="22.5" customHeight="1">
      <c r="A470" s="33">
        <v>46119.0</v>
      </c>
      <c r="B470" s="24">
        <f t="shared" si="4"/>
        <v>2026</v>
      </c>
      <c r="C470" s="28" t="s">
        <v>77</v>
      </c>
      <c r="D470" s="29"/>
      <c r="E470" s="56"/>
      <c r="F470" s="30">
        <v>5380.0</v>
      </c>
      <c r="G470" s="56"/>
      <c r="I470" s="53"/>
    </row>
    <row r="471" ht="22.5" customHeight="1">
      <c r="A471" s="32">
        <v>46128.0</v>
      </c>
      <c r="B471" s="24">
        <f t="shared" si="4"/>
        <v>2026</v>
      </c>
      <c r="C471" s="25" t="s">
        <v>77</v>
      </c>
      <c r="D471" s="24"/>
      <c r="E471" s="57"/>
      <c r="F471" s="26">
        <v>4932.0</v>
      </c>
      <c r="G471" s="57"/>
      <c r="I471" s="53"/>
    </row>
    <row r="472" ht="22.5" customHeight="1">
      <c r="A472" s="33">
        <v>46113.0</v>
      </c>
      <c r="B472" s="24">
        <f t="shared" si="4"/>
        <v>2026</v>
      </c>
      <c r="C472" s="28" t="s">
        <v>59</v>
      </c>
      <c r="D472" s="56"/>
      <c r="E472" s="56"/>
      <c r="F472" s="30">
        <v>25440.0</v>
      </c>
      <c r="G472" s="56"/>
      <c r="I472" s="53"/>
    </row>
    <row r="473" ht="22.5" customHeight="1">
      <c r="A473" s="32">
        <v>46115.0</v>
      </c>
      <c r="B473" s="24">
        <f t="shared" si="4"/>
        <v>2026</v>
      </c>
      <c r="C473" s="25" t="s">
        <v>59</v>
      </c>
      <c r="D473" s="57"/>
      <c r="E473" s="58"/>
      <c r="F473" s="26">
        <v>11752.0</v>
      </c>
      <c r="G473" s="57"/>
      <c r="H473" s="53"/>
    </row>
    <row r="474" ht="22.5" customHeight="1">
      <c r="A474" s="27">
        <v>46123.0</v>
      </c>
      <c r="B474" s="24">
        <f t="shared" si="4"/>
        <v>2026</v>
      </c>
      <c r="C474" s="28" t="s">
        <v>59</v>
      </c>
      <c r="D474" s="56"/>
      <c r="E474" s="59"/>
      <c r="F474" s="30">
        <v>13570.0</v>
      </c>
      <c r="G474" s="56"/>
    </row>
    <row r="475" ht="22.5" customHeight="1">
      <c r="A475" s="34">
        <v>46118.0</v>
      </c>
      <c r="B475" s="35">
        <f t="shared" si="4"/>
        <v>2026</v>
      </c>
      <c r="C475" s="36" t="s">
        <v>185</v>
      </c>
      <c r="D475" s="35"/>
      <c r="E475" s="60"/>
      <c r="F475" s="37">
        <v>4672.0</v>
      </c>
      <c r="G475" s="61"/>
    </row>
    <row r="476">
      <c r="A476" s="62"/>
      <c r="B476" s="62"/>
      <c r="C476" s="62"/>
      <c r="D476" s="62"/>
      <c r="E476" s="62"/>
      <c r="F476" s="31"/>
    </row>
    <row r="477">
      <c r="A477" s="63"/>
      <c r="D477" s="62"/>
    </row>
    <row r="478">
      <c r="A478" s="63"/>
      <c r="D478" s="62"/>
    </row>
  </sheetData>
  <dataValidations>
    <dataValidation type="custom" allowBlank="1" showDropDown="1" sqref="A2:A475">
      <formula1>OR(NOT(ISERROR(DATEVALUE(A2))), AND(ISNUMBER(A2), LEFT(CELL("format", A2))="D"))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8.57"/>
    <col customWidth="1" min="2" max="2" width="20.29"/>
    <col customWidth="1" min="3" max="3" width="19.14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</sheetData>
  <autoFilter ref="$A$1:$C$21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2026-03-21T08:19:53Z</dcterms:created>
  <dc:creator>openpyxl</dc:creator>
</cp:coreProperties>
</file>